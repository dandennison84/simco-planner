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82" documentId="13_ncr:1_{F6849B66-758C-480A-AE86-C328E8966796}" xr6:coauthVersionLast="47" xr6:coauthVersionMax="47" xr10:uidLastSave="{33B8F6BA-C196-4E37-98B8-D8FD89FA0584}"/>
  <bookViews>
    <workbookView xWindow="-120" yWindow="-120" windowWidth="29040" windowHeight="15720" firstSheet="3" activeTab="4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constraint_type" sheetId="170" r:id="rId5"/>
    <sheet name="retail_unused_capacity" sheetId="169" r:id="rId6"/>
    <sheet name="product_role_classification" sheetId="168" r:id="rId7"/>
    <sheet name="product_flow_classification" sheetId="166" r:id="rId8"/>
    <sheet name="allocation_summary" sheetId="151" r:id="rId9"/>
    <sheet name="retail_bottleneck_detail" sheetId="165" r:id="rId10"/>
    <sheet name="retail_allocation_result" sheetId="164" r:id="rId11"/>
    <sheet name="clearing_result" sheetId="155" r:id="rId12"/>
    <sheet name="balance_plan" sheetId="152" r:id="rId13"/>
    <sheet name="production_intent" sheetId="167" r:id="rId14"/>
    <sheet name="product_bom_consumption" sheetId="154" r:id="rId15"/>
    <sheet name="product_bom_demand_detail" sheetId="157" r:id="rId16"/>
    <sheet name="_ref_building" sheetId="158" state="hidden" r:id="rId17"/>
    <sheet name="_ref_product" sheetId="159" state="hidden" r:id="rId18"/>
    <sheet name="_ref_realm" sheetId="160" state="hidden" r:id="rId19"/>
    <sheet name="_ref_channel" sheetId="161" state="hidden" r:id="rId20"/>
    <sheet name="Help" sheetId="141" r:id="rId21"/>
  </sheets>
  <definedNames>
    <definedName name="_xlpm.f" hidden="1" xlm="1">#NAME?</definedName>
    <definedName name="ExternalData_1" localSheetId="8" hidden="1">allocation_summary!$A$1:$O$18</definedName>
    <definedName name="ExternalData_1" localSheetId="15" hidden="1">product_bom_demand_detail!$A$1:$I$26</definedName>
    <definedName name="ExternalData_1" localSheetId="10" hidden="1">'retail_allocation_result'!$A$1:$I$2</definedName>
    <definedName name="ExternalData_2" localSheetId="12" hidden="1">balance_plan!$A$1:$J$18</definedName>
    <definedName name="ExternalData_2" localSheetId="9" hidden="1">'retail_bottleneck_detail'!$A$1:$J$2</definedName>
    <definedName name="ExternalData_3" localSheetId="7" hidden="1">product_flow_classification!$A$1:$F$18</definedName>
    <definedName name="ExternalData_3" localSheetId="6" hidden="1">product_role_classification!$A$1:$F$18</definedName>
    <definedName name="ExternalData_4" localSheetId="14" hidden="1">product_bom_consumption!$A$1:$F$15</definedName>
    <definedName name="ExternalData_4" localSheetId="5" hidden="1">'retail_unused_capacity'!$A$1:$J$2</definedName>
    <definedName name="ExternalData_5" localSheetId="11" hidden="1">'clearing_result'!$A$1:$J$20</definedName>
    <definedName name="ExternalData_5" localSheetId="4" hidden="1">'constraint_type'!$A$1:$F$18</definedName>
    <definedName name="ExternalData_5" localSheetId="13" hidden="1">production_intent!$A$1:$F$17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2" l="1"/>
  <c r="C128" i="132"/>
  <c r="F7" i="132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39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0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1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2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3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4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6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7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8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9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0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1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2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3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4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5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6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7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8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9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0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1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2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3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4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5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6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7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8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9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0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1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2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3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4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6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8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9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0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1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2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3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5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6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8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9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0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2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3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5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6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7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8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99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<sst xmlns="http://schemas.openxmlformats.org/spreadsheetml/2006/main" count="966" uniqueCount="297">
  <si>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</si>
  <si>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</si>
  <si>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</si>
  <si>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</si>
  <si>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</si>
  <si>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</si>
  <si>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</si>
  <si>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</si>
  <si>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</si>
  <si>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</si>
  <si>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</si>
  <si>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</si>
  <si>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</si>
  <si>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</si>
  <si>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</si>
  <si>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</si>
  <si>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</si>
  <si>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</si>
  <si>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</si>
  <si>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</si>
  <si>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</si>
  <si>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</si>
  <si>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</si>
  <si>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</si>
  <si>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</si>
  <si>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</si>
  <si>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</si>
  <si>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</si>
  <si>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</si>
  <si>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</si>
  <si>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</si>
  <si>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</si>
  <si>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</si>
  <si>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</si>
  <si>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</si>
  <si>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</si>
  <si>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</si>
  <si>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</si>
  <si>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</si>
  <si>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</si>
  <si>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</si>
  <si>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</si>
  <si>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</si>
  <si>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</si>
  <si>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</si>
  <si>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</si>
  <si>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</si>
  <si>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</si>
  <si>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</si>
  <si>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</si>
  <si>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</si>
  <si>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</si>
  <si>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</si>
  <si>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</si>
  <si>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</si>
  <si>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</si>
  <si>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</si>
  <si>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</si>
  <si>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</si>
  <si>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</si>
  <si>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</si>
  <si>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</si>
  <si>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</si>
  <si>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</si>
  <si>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</si>
  <si>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</si>
  <si>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</si>
  <si>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</si>
  <si>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</si>
  <si>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</si>
  <si>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</si>
  <si>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</si>
  <si>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</si>
  <si>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</si>
  <si>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</si>
  <si>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</si>
  <si>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</si>
  <si>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</si>
  <si>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</si>
  <si>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</si>
  <si>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</si>
  <si>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</si>
  <si>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</si>
  <si>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</si>
  <si>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</si>
  <si>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</si>
  <si>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</si>
  <si>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</si>
  <si>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</si>
  <si>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</si>
  <si>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</si>
  <si>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</si>
  <si>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</si>
  <si>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</si>
  <si>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</si>
  <si>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</si>
  <si>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</si>
  <si>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</si>
  <si>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</si>
  <si>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</si>
  <si>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</si>
  <si>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</si>
  <si>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</si>
  <si>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</si>
  <si>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</si>
  <si>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</si>
  <si>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</si>
  <si>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</si>
  <si>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</si>
  <si>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</si>
  <si>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</si>
  <si>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</si>
  <si>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</si>
  <si>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</si>
  <si>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</si>
  <si>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</si>
  <si>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</si>
  <si>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</si>
  <si>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</si>
  <si>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</si>
  <si>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</si>
  <si>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</si>
  <si>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</si>
  <si>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</si>
  <si>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</si>
  <si>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</si>
  <si>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</si>
  <si>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</si>
  <si>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</si>
  <si>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</si>
  <si>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</si>
  <si>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</si>
  <si>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</si>
  <si>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</si>
  <si>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</si>
  <si>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</si>
  <si>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</si>
  <si>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</si>
  <si>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</si>
  <si>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</si>
  <si>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</si>
  <si>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</si>
  <si>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</si>
  <si>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</si>
  <si>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</si>
  <si>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</si>
  <si>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</si>
  <si>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</si>
  <si>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</si>
  <si>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</si>
  <si>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</si>
  <si>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</si>
  <si>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</si>
  <si>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</si>
  <si>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</si>
  <si>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</si>
  <si>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</si>
  <si>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</si>
  <si>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</si>
  <si>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</si>
  <si>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</si>
  <si>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</si>
  <si>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</si>
  <si>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</si>
  <si>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</si>
  <si>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</si>
  <si>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</si>
  <si>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</si>
  <si>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</si>
  <si>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</si>
  <si>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</si>
  <si>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</si>
  <si>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</si>
  <si>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</si>
  <si>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</si>
  <si>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</si>
  <si>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</si>
  <si>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</si>
  <si>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</si>
  <si>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</si>
  <si>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</si>
  <si>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</si>
  <si>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</si>
  <si>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</si>
  <si>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</si>
  <si>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</si>
  <si>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</si>
  <si>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</si>
  <si>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</si>
  <si>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</si>
  <si>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</si>
  <si>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</si>
  <si>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</si>
  <si>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</si>
  <si>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</si>
  <si>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</si>
  <si>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</si>
  <si>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</si>
  <si>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</si>
  <si>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</si>
  <si>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</si>
  <si>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</si>
  <si>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</si>
  <si>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</si>
  <si>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</si>
  <si>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</si>
  <si>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</si>
  <si>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</si>
  <si>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</si>
  <si>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</si>
  <si>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</si>
  <si>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</si>
  <si>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</si>
  <si>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</si>
  <si>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</si>
  <si>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</si>
  <si>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</si>
  <si>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</si>
  <si>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</si>
  <si>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</si>
  <si>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</si>
  <si>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</si>
  <si>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</si>
  <si>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</si>
  <si>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</si>
  <si>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</si>
  <si>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</si>
  <si>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</si>
  <si>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</si>
  <si>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</si>
  <si>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</si>
  <si>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</si>
  <si>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</si>
  <si>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</si>
  <si>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</si>
  <si>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</si>
  <si>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</si>
  <si>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</si>
  <si>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</si>
  <si>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</si>
  <si>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</si>
  <si>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</si>
  <si>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</si>
  <si>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</si>
  <si>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</si>
  <si>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</si>
  <si>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</si>
  <si>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</si>
  <si>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</si>
  <si>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</si>
  <si>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</si>
  <si>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</si>
  <si>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</si>
  <si>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</si>
  <si>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</si>
  <si>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</si>
  <si>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</si>
  <si>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</si>
  <si>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</si>
  <si>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</si>
  <si>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</si>
  <si>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</si>
  <si>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</si>
  <si>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</si>
  <si>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</si>
  <si>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</si>
  <si>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</si>
  <si>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</si>
  <si>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</si>
  <si>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</si>
  <si>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</si>
  <si>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</si>
  <si>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</si>
  <si>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Generated: 2026-06-16 16:40:24 UTC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</si>
  <si>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</si>
  <si>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</si>
  <si>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</si>
  <si>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</si>
  <si>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</si>
  <si>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</si>
  <si>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</si>
  <si>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</si>
  <si>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</si>
  <si>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</si>
  <si>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Quantum Spin Ltd | Magnates | 5/30/2026 10:16:07 AM</t>
  </si>
  <si>
    <t>Quantum Spin Ltd | Entrepreneurs | 5/30/2026 10:16:07 AM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</si>
  <si>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</si>
  <si>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</si>
  <si>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</si>
  <si>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</si>
  <si>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</si>
  <si>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</si>
  <si>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</si>
  <si>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</si>
  <si>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</si>
  <si>
    <t>retail_pct</t>
  </si>
  <si>
    <t>non_retail_pct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</si>
</sst>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69"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68"/>
      <tableStyleElement type="headerRow" dxfId="67"/>
    </tableStyle>
    <tableStyle name="Output Table" pivot="0" count="2" xr9:uid="{2E3CF32D-1805-447A-A85C-8F12D0D17A75}">
      <tableStyleElement type="wholeTable" dxfId="66"/>
      <tableStyleElement type="headerRow" dxfId="65"/>
    </tableStyle>
    <tableStyle name="Ref Table" pivot="0" count="2" xr9:uid="{A770A715-E574-4C04-A545-B413EE13707B}">
      <tableStyleElement type="wholeTable" dxfId="64"/>
      <tableStyleElement type="headerRow" dxfId="63"/>
    </tableStyle>
    <tableStyle name="Reference Material" pivot="0" count="2" xr9:uid="{4A411DC6-D102-4668-BF54-FAE72CB502D1}">
      <tableStyleElement type="wholeTable" dxfId="62"/>
      <tableStyleElement type="headerRow" dxfId="61"/>
    </tableStyle>
    <tableStyle name="Sys Tables" pivot="0" count="2" xr9:uid="{096D3C65-410C-4E50-A003-D708D0B3FEC5}">
      <tableStyleElement type="wholeTable" dxfId="60"/>
      <tableStyleElement type="headerRow" dxfId="5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constraint_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9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086DF7A6-9543-413A-A05C-5BCA1232467A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0" xr16:uid="{56C1D407-FCBC-4B66-9324-D8C520424A4A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flow_typ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4">
    <queryTableFields count="15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  <queryTableField id="32" name="retail_pct" tableColumnId="14"/>
      <queryTableField id="33" name="non_retail_pct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8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7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5">
    <queryTableFields count="10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2" xr16:uid="{05CB9B9A-B69C-4A3A-94B8-DF7652AA6ABB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units_produced_per_hour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8" xr16:uid="{DD315A0D-4543-4F2A-8C5D-1F14C53C8B73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units_consumed_per_hour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55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54"/>
    <tableColumn id="12" xr3:uid="{E9009A07-ADD8-4026-8D8E-837BC33C59D6}" name="economic_phase_key" dataDxfId="53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52"/>
    <tableColumn id="8" xr3:uid="{13346E22-A822-4DDB-AC42-5BDDA0D7C140}" name="sales_speed_delta" dataDxfId="51"/>
    <tableColumn id="9" xr3:uid="{DC6CD4C4-F52F-4006-8272-45075FEB3A09}" name="enabled" dataDxfId="50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49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48"/>
    <tableColumn id="6" xr3:uid="{5AD26A78-376B-45F9-AD3F-E0EA1CFDD1E0}" name="enabled" dataDxfId="47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46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45"/>
    <tableColumn id="6" xr3:uid="{D362487B-B768-4C2A-A7E9-5E4BB89B6DB8}" name="enabled" dataDxfId="44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43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42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41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40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39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38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37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36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35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27:G128" totalsRowShown="0">
  <autoFilter ref="A127:G12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34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33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F18" tableType="queryTable" totalsRowShown="0">
  <autoFilter ref="A1:F18" xr:uid="{CF7A300A-7541-4159-991F-45D5DAF8EBA0}"/>
  <sortState xmlns:xlrd2="http://schemas.microsoft.com/office/spreadsheetml/2017/richdata2" ref="A2:F18">
    <sortCondition ref="A1:A18"/>
  </sortState>
  <tableColumns count="6">
    <tableColumn id="1" xr3:uid="{B705D3B1-E37D-46C5-87D2-935DD068AD1F}" uniqueName="1" name="company_key" queryTableFieldId="1"/>
    <tableColumn id="2" xr3:uid="{37623651-25BA-4619-AE9F-CC38EDE08C03}" uniqueName="2" name="company_display" queryTableFieldId="2" dataDxfId="58"/>
    <tableColumn id="3" xr3:uid="{97E9A76A-0A2C-4CDB-8035-EB8FE2CA79E1}" uniqueName="3" name="product_key" queryTableFieldId="3"/>
    <tableColumn id="4" xr3:uid="{71447BBC-2760-4D43-8A93-A2058A544F7E}" uniqueName="4" name="product_name" queryTableFieldId="4" dataDxfId="57"/>
    <tableColumn id="5" xr3:uid="{C468E466-9C45-4CA3-9BEF-1647F1A012BE}" uniqueName="5" name="quality_level" queryTableFieldId="5"/>
    <tableColumn id="6" xr3:uid="{84664A8A-D0CE-423A-AAC0-F84DC5BEE813}" uniqueName="6" name="constraint_type" queryTableFieldId="6" dataDxfId="56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32"/>
    <tableColumn id="3" xr3:uid="{B46018B7-CD9A-4B6F-8EC8-F729226AACE5}" uniqueName="3" name="product_key" queryTableFieldId="3"/>
    <tableColumn id="4" xr3:uid="{E5311092-A549-417F-83F5-628EE7361211}" uniqueName="4" name="product_name" queryTableFieldId="4" dataDxfId="31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30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F18" tableType="queryTable" totalsRowShown="0">
  <autoFilter ref="A1:F18" xr:uid="{70D1F59D-1F49-4F81-B36C-99B73B98A471}"/>
  <sortState xmlns:xlrd2="http://schemas.microsoft.com/office/spreadsheetml/2017/richdata2" ref="A2:F18">
    <sortCondition ref="A1:A18"/>
  </sortState>
  <tableColumns count="6">
    <tableColumn id="1" xr3:uid="{2E3F556E-9CF2-4753-B1C6-9985A5728E35}" uniqueName="1" name="company_key" queryTableFieldId="1"/>
    <tableColumn id="2" xr3:uid="{81A6825B-105B-4095-9A9D-6219B6793AEF}" uniqueName="2" name="company_display" queryTableFieldId="2" dataDxfId="29"/>
    <tableColumn id="3" xr3:uid="{6BCF28DC-FE5A-4BB4-A131-DA31B76173BC}" uniqueName="3" name="product_key" queryTableFieldId="3"/>
    <tableColumn id="4" xr3:uid="{0DD8545D-CB70-4DCE-8888-C0BA1D9BEEC2}" uniqueName="4" name="product_name" queryTableFieldId="4" dataDxfId="28"/>
    <tableColumn id="5" xr3:uid="{F5556B56-E81F-4EFE-B73D-FA227C2C8D33}" uniqueName="5" name="quality_level" queryTableFieldId="5"/>
    <tableColumn id="6" xr3:uid="{28E4BB78-5683-4F98-9BBF-839C44D59F91}" uniqueName="6" name="product_role" queryTableFieldId="6" dataDxfId="27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F18" tableType="queryTable" totalsRowShown="0">
  <autoFilter ref="A1:F18" xr:uid="{6ED9AF58-FB91-43AC-AEC1-D17BE827184E}"/>
  <sortState xmlns:xlrd2="http://schemas.microsoft.com/office/spreadsheetml/2017/richdata2" ref="A2:F18">
    <sortCondition ref="A1:A18"/>
  </sortState>
  <tableColumns count="6">
    <tableColumn id="1" xr3:uid="{7F98BF4C-F79F-4A5E-8AD6-58DA44F53291}" uniqueName="1" name="company_key" queryTableFieldId="1"/>
    <tableColumn id="6" xr3:uid="{FC0534D1-C4A6-4C52-9B0F-200F7D40F16B}" uniqueName="6" name="company_display" queryTableFieldId="6" dataDxfId="26"/>
    <tableColumn id="2" xr3:uid="{6E1B3623-6AC1-450F-995F-9C2888D2B399}" uniqueName="2" name="product_key" queryTableFieldId="2"/>
    <tableColumn id="5" xr3:uid="{9E213D6B-7DC8-4F19-804E-164EC8796B18}" uniqueName="5" name="product_name" queryTableFieldId="5" dataDxfId="25"/>
    <tableColumn id="3" xr3:uid="{C65703A0-454F-45CB-9904-E21B688BA709}" uniqueName="3" name="quality_level" queryTableFieldId="3"/>
    <tableColumn id="4" xr3:uid="{323D7A08-D062-4464-A8FE-D4A12D11213D}" uniqueName="4" name="flow_type" queryTableFieldId="4" dataDxfId="24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O18" tableType="queryTable" totalsRowShown="0">
  <autoFilter ref="A1:O18" xr:uid="{4E17DF3E-5287-440B-A27E-FDA3DFDDFF33}"/>
  <sortState xmlns:xlrd2="http://schemas.microsoft.com/office/spreadsheetml/2017/richdata2" ref="A2:O18">
    <sortCondition ref="A1:A18"/>
  </sortState>
  <tableColumns count="15">
    <tableColumn id="1" xr3:uid="{1102F6B8-9954-4D5C-AD18-3BFED75176A4}" uniqueName="1" name="company_key" queryTableFieldId="1"/>
    <tableColumn id="11" xr3:uid="{4665EEA7-4CA3-4B77-A23A-55843360B11F}" uniqueName="11" name="company_display" queryTableFieldId="26" dataDxfId="23"/>
    <tableColumn id="4" xr3:uid="{AAF48A8B-4F4E-47D1-A916-4BB4135B0C7F}" uniqueName="4" name="product_key" queryTableFieldId="4"/>
    <tableColumn id="8" xr3:uid="{1E76A64A-A899-4066-AFDE-8A625545F62B}" uniqueName="8" name="product_name" queryTableFieldId="8" dataDxfId="22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1"/>
    <tableColumn id="12" xr3:uid="{2851A231-BA16-4360-83AE-0BA48BAB1BA2}" uniqueName="12" name="retail_capture_pct_display" queryTableFieldId="17" dataDxfId="0"/>
    <tableColumn id="2" xr3:uid="{EAE8025A-D2AD-4D25-AF70-210DBFC172ED}" uniqueName="2" name="is_retail_capped" queryTableFieldId="2"/>
    <tableColumn id="14" xr3:uid="{C2632524-DBCB-48C9-8C09-E1C7B286757E}" uniqueName="14" name="retail_pct" queryTableFieldId="32"/>
    <tableColumn id="15" xr3:uid="{091B49E1-3EC6-4789-9FB8-16FC1983C96A}" uniqueName="15" name="non_retail_pct" queryTableFieldId="33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21"/>
    <tableColumn id="2" xr3:uid="{3401501E-2A2F-4261-86AC-582665D5283A}" uniqueName="2" name="product_key" queryTableFieldId="2"/>
    <tableColumn id="8" xr3:uid="{8D649FE5-6724-4B23-9A31-BCBBFC88297C}" uniqueName="8" name="product_name" queryTableFieldId="8" dataDxfId="20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19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18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17"/>
    <tableColumn id="2" xr3:uid="{79325638-C392-4200-9DE5-27C73911C159}" uniqueName="2" name="product_key" queryTableFieldId="2"/>
    <tableColumn id="7" xr3:uid="{1A5FBD87-EFD3-418A-81DF-9217E53B18B9}" uniqueName="7" name="product_name" queryTableFieldId="7" dataDxfId="16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15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20" tableType="queryTable" totalsRowShown="0">
  <autoFilter ref="A1:J20" xr:uid="{04728E40-C452-47A7-BBD7-A726D5BEB2C3}"/>
  <sortState xmlns:xlrd2="http://schemas.microsoft.com/office/spreadsheetml/2017/richdata2" ref="A2:J20">
    <sortCondition ref="A1:A20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14"/>
    <tableColumn id="6" xr3:uid="{C4B02CD3-AE0F-4C2D-837B-3D2259AB1E26}" uniqueName="6" name="product_key" queryTableFieldId="6"/>
    <tableColumn id="8" xr3:uid="{03EA8B44-09C3-41F7-B24E-E4B3174B1E09}" uniqueName="8" name="product_name" queryTableFieldId="8" dataDxfId="13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12"/>
    <tableColumn id="5" xr3:uid="{90237FDB-7C99-4B5C-8AB8-6C1F09B9763E}" uniqueName="5" name="priority" queryTableFieldId="5"/>
    <tableColumn id="4" xr3:uid="{1D503F3A-EAFB-4C9F-B853-82A1EA04253D}" uniqueName="4" name="direction" queryTableFieldId="4" dataDxfId="11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J18" tableType="queryTable" totalsRowShown="0">
  <autoFilter ref="A1:J18" xr:uid="{1300D389-4E92-4A3B-9E05-7AEF65561BAE}"/>
  <sortState xmlns:xlrd2="http://schemas.microsoft.com/office/spreadsheetml/2017/richdata2" ref="A2:J18">
    <sortCondition ref="A1:A18"/>
  </sortState>
  <tableColumns count="10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10"/>
    <tableColumn id="3" xr3:uid="{1D85DA38-5909-4CCF-8FE1-583DBC40D70B}" uniqueName="3" name="product_key" queryTableFieldId="3"/>
    <tableColumn id="9" xr3:uid="{BBB6619B-7374-41EA-A54B-DC515532AABE}" uniqueName="9" name="product_name" queryTableFieldId="9" dataDxfId="9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F17" tableType="queryTable" totalsRowShown="0">
  <autoFilter ref="A1:F17" xr:uid="{2128253C-A623-45F6-A6FF-C3148486ACB1}"/>
  <sortState xmlns:xlrd2="http://schemas.microsoft.com/office/spreadsheetml/2017/richdata2" ref="A2:F17">
    <sortCondition ref="A1:A17"/>
  </sortState>
  <tableColumns count="6">
    <tableColumn id="1" xr3:uid="{7164939C-7BE9-4810-A604-0192661E0846}" uniqueName="1" name="company_key" queryTableFieldId="1"/>
    <tableColumn id="2" xr3:uid="{D33C2A9A-3861-4561-8EBF-927054E4D667}" uniqueName="2" name="company_display" queryTableFieldId="2" dataDxfId="8"/>
    <tableColumn id="3" xr3:uid="{4C571EB7-C5C4-45C1-B8BE-87E084E00439}" uniqueName="3" name="product_key" queryTableFieldId="3"/>
    <tableColumn id="4" xr3:uid="{DBC29166-25C0-429A-948F-541189B61A50}" uniqueName="4" name="product_name" queryTableFieldId="4" dataDxfId="7"/>
    <tableColumn id="5" xr3:uid="{4180B472-D0A3-4B9A-BA1E-25362AB2FBB5}" uniqueName="5" name="quality_level" queryTableFieldId="5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F15" tableType="queryTable" totalsRowShown="0">
  <autoFilter ref="A1:F15" xr:uid="{8C33B665-0B3E-4DCA-8E34-3CA298178A8B}"/>
  <sortState xmlns:xlrd2="http://schemas.microsoft.com/office/spreadsheetml/2017/richdata2" ref="A2:F15">
    <sortCondition ref="A1:A15"/>
  </sortState>
  <tableColumns count="6">
    <tableColumn id="1" xr3:uid="{8C8E0191-AB97-491A-9CD9-2D7EF277F367}" uniqueName="1" name="company_key" queryTableFieldId="1"/>
    <tableColumn id="6" xr3:uid="{9E2A127D-9572-4EE6-9CF0-D6390452D4C3}" uniqueName="6" name="company_display" queryTableFieldId="6" dataDxfId="6"/>
    <tableColumn id="2" xr3:uid="{56F55EAE-DE1A-4A5D-9781-4A53FA2B93CD}" uniqueName="2" name="product_key" queryTableFieldId="2"/>
    <tableColumn id="5" xr3:uid="{483EB62E-6A1B-4111-B711-D04593AE9F0B}" uniqueName="5" name="product_name" queryTableFieldId="5" dataDxfId="5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4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3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2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workbookViewId="0">
      <selection activeCell="A7" sqref="A7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44</v>
      </c>
      <c r="B61" t="s">
        <v>265</v>
      </c>
      <c r="C61" t="s">
        <v>113</v>
      </c>
      <c r="D61" t="s">
        <v>35</v>
      </c>
      <c r="E61" t="s">
        <v>36</v>
      </c>
      <c r="F61" t="s">
        <v>266</v>
      </c>
      <c r="G61" t="s">
        <v>255</v>
      </c>
      <c r="H61" t="s">
        <v>256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38</v>
      </c>
      <c r="B94" s="1"/>
      <c r="C94" s="1"/>
    </row>
    <row r="95" spans="1:10" x14ac:dyDescent="0.3">
      <c r="A95" s="6" t="s">
        <v>44</v>
      </c>
      <c r="B95" t="s">
        <v>113</v>
      </c>
      <c r="C95" t="s">
        <v>35</v>
      </c>
      <c r="D95" t="s">
        <v>36</v>
      </c>
      <c r="E95" t="s">
        <v>57</v>
      </c>
      <c r="F95" t="s">
        <v>251</v>
      </c>
      <c r="G95" t="s">
        <v>55</v>
      </c>
      <c r="H95" t="s">
        <v>259</v>
      </c>
      <c r="I95" t="s">
        <v>262</v>
      </c>
      <c r="J95" t="s">
        <v>261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39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26" spans="1:10" x14ac:dyDescent="0.3">
      <c r="A126" s="2" t="s">
        <v>272</v>
      </c>
      <c r="B126" s="1"/>
      <c r="C126" s="1"/>
    </row>
    <row r="127" spans="1:10" x14ac:dyDescent="0.3">
      <c r="A127" t="s">
        <v>44</v>
      </c>
      <c r="B127" t="s">
        <v>113</v>
      </c>
      <c r="C127" t="s">
        <v>35</v>
      </c>
      <c r="D127" t="s">
        <v>36</v>
      </c>
      <c r="E127" t="s">
        <v>67</v>
      </c>
      <c r="F127" t="s">
        <v>66</v>
      </c>
      <c r="G127" t="s">
        <v>57</v>
      </c>
    </row>
    <row r="128" spans="1:10" x14ac:dyDescent="0.3">
      <c r="A128">
        <v>2</v>
      </c>
      <c r="B128" t="s">
        <v>29</v>
      </c>
      <c r="C128" s="7">
        <f>_xlfn.XLOOKUP(tblRetailPlan[[#This Row],[product_name]],ref_product[product_name],ref_product[product_key])</f>
        <v>93</v>
      </c>
      <c r="D128">
        <v>0</v>
      </c>
      <c r="E128" t="s">
        <v>17</v>
      </c>
      <c r="F128" s="7">
        <f>_xlfn.XLOOKUP(tblRetailPlan[[#This Row],[building_name]],ref_building[building_name],ref_building[building_key])</f>
        <v>28</v>
      </c>
      <c r="G128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250</v>
      </c>
      <c r="B169" s="6" t="s">
        <v>249</v>
      </c>
      <c r="C169" t="s">
        <v>113</v>
      </c>
      <c r="D169" t="s">
        <v>35</v>
      </c>
      <c r="E169" t="s">
        <v>36</v>
      </c>
      <c r="F169" t="s">
        <v>260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37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250</v>
      </c>
      <c r="B197" s="6" t="s">
        <v>249</v>
      </c>
      <c r="C197" t="s">
        <v>113</v>
      </c>
      <c r="D197" t="s">
        <v>35</v>
      </c>
      <c r="E197" t="s">
        <v>36</v>
      </c>
      <c r="F197" t="s">
        <v>260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C7:C8 A170:A187 C6 A198" xr:uid="{DDFBCD6A-1B48-4D8B-B51B-FE71E4187B92}">
      <formula1>nr_RealmNames</formula1>
    </dataValidation>
    <dataValidation type="list" allowBlank="1" showInputMessage="1" showErrorMessage="1" sqref="E128 C20 C21:C43" xr:uid="{130C0361-AF17-48C4-8178-143F0F300132}">
      <formula1>nr_BuildingNames</formula1>
    </dataValidation>
    <dataValidation type="list" allowBlank="1" showInputMessage="1" showErrorMessage="1" sqref="B128 B127 B96:B114 C170:C187 C61 C62:C83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F18"/>
  <sheetViews>
    <sheetView showGridLines="0" tabSelected="1" workbookViewId="0">
      <selection activeCell="H4" sqref="H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6.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291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292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292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293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292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292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292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292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293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292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292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294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293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292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293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293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292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290</v>
      </c>
      <c r="J1" t="s">
        <v>274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0</v>
      </c>
      <c r="J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F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0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286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287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288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288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288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287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288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288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288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288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288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289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288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288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288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288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288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F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1.6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279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280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280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281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280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280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280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280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281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280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280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280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281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280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281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281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280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280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O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4" width="11.875" bestFit="1" customWidth="1"/>
    <col min="15" max="15" width="15.375" bestFit="1" customWidth="1"/>
    <col min="16" max="17" width="18.625" bestFit="1" customWidth="1"/>
    <col min="18" max="18" width="18.625" customWidth="1"/>
  </cols>
  <sheetData>
    <row r="1" spans="1:15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276</v>
      </c>
      <c r="J1" t="s">
        <v>283</v>
      </c>
      <c r="K1" t="s">
        <v>277</v>
      </c>
      <c r="L1" t="s">
        <v>278</v>
      </c>
      <c r="M1" t="s">
        <v>45</v>
      </c>
      <c r="N1" t="s">
        <v>295</v>
      </c>
      <c r="O1" t="s">
        <v>296</v>
      </c>
    </row>
    <row r="2" spans="1:15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  <c r="N2">
        <v>0</v>
      </c>
      <c r="O2">
        <v>1</v>
      </c>
    </row>
    <row r="3" spans="1:15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0</v>
      </c>
      <c r="K3" s="9">
        <v>0</v>
      </c>
      <c r="L3" s="9"/>
      <c r="M3" t="b">
        <v>0</v>
      </c>
      <c r="N3">
        <v>0</v>
      </c>
      <c r="O3">
        <v>1</v>
      </c>
    </row>
    <row r="4" spans="1:15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519.875</v>
      </c>
      <c r="G4">
        <v>0</v>
      </c>
      <c r="H4">
        <v>519.875</v>
      </c>
      <c r="I4">
        <v>0</v>
      </c>
      <c r="K4" s="9">
        <v>0</v>
      </c>
      <c r="L4" s="9"/>
      <c r="M4" t="b">
        <v>0</v>
      </c>
      <c r="N4">
        <v>0</v>
      </c>
      <c r="O4">
        <v>1</v>
      </c>
    </row>
    <row r="5" spans="1:15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</v>
      </c>
      <c r="K5" s="9">
        <v>0</v>
      </c>
      <c r="L5" s="9"/>
      <c r="M5" t="b">
        <v>0</v>
      </c>
      <c r="N5">
        <v>0</v>
      </c>
      <c r="O5">
        <v>1</v>
      </c>
    </row>
    <row r="6" spans="1:15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  <c r="N6">
        <v>0</v>
      </c>
      <c r="O6">
        <v>1</v>
      </c>
    </row>
    <row r="7" spans="1:15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0</v>
      </c>
      <c r="K7" s="9">
        <v>0</v>
      </c>
      <c r="L7" s="9"/>
      <c r="M7" t="b">
        <v>0</v>
      </c>
      <c r="N7">
        <v>0</v>
      </c>
      <c r="O7">
        <v>1</v>
      </c>
    </row>
    <row r="8" spans="1:15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0</v>
      </c>
      <c r="K8" s="9">
        <v>0</v>
      </c>
      <c r="L8" s="9"/>
      <c r="M8" t="b">
        <v>0</v>
      </c>
      <c r="N8">
        <v>0</v>
      </c>
      <c r="O8">
        <v>1</v>
      </c>
    </row>
    <row r="9" spans="1:15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32.087500000000006</v>
      </c>
      <c r="G9">
        <v>0</v>
      </c>
      <c r="H9">
        <v>32.087500000000006</v>
      </c>
      <c r="I9">
        <v>0</v>
      </c>
      <c r="K9" s="9">
        <v>0</v>
      </c>
      <c r="L9" s="9"/>
      <c r="M9" t="b">
        <v>0</v>
      </c>
      <c r="N9">
        <v>0</v>
      </c>
      <c r="O9">
        <v>1</v>
      </c>
    </row>
    <row r="10" spans="1:15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0</v>
      </c>
      <c r="K10" s="9">
        <v>0</v>
      </c>
      <c r="L10" s="9"/>
      <c r="M10" t="b">
        <v>0</v>
      </c>
      <c r="N10">
        <v>0</v>
      </c>
      <c r="O10">
        <v>1</v>
      </c>
    </row>
    <row r="11" spans="1:15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0</v>
      </c>
      <c r="K11" s="9">
        <v>0</v>
      </c>
      <c r="L11" s="9"/>
      <c r="M11" t="b">
        <v>0</v>
      </c>
      <c r="N11">
        <v>0</v>
      </c>
      <c r="O11">
        <v>1</v>
      </c>
    </row>
    <row r="12" spans="1:15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95.761116000000001</v>
      </c>
      <c r="G12">
        <v>76.466597938144332</v>
      </c>
      <c r="H12">
        <v>19.294518061855669</v>
      </c>
      <c r="I12">
        <v>19.294518061855669</v>
      </c>
      <c r="J12">
        <v>19.294518061855669</v>
      </c>
      <c r="K12" s="9">
        <v>0.79851406429039873</v>
      </c>
      <c r="L12" s="9">
        <v>0.79851406429039873</v>
      </c>
      <c r="M12" t="b">
        <v>1</v>
      </c>
      <c r="N12">
        <v>0.79851406429039873</v>
      </c>
      <c r="O12">
        <v>0.20148593570960127</v>
      </c>
    </row>
    <row r="13" spans="1:15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175.20749840000002</v>
      </c>
      <c r="G13">
        <v>0</v>
      </c>
      <c r="H13">
        <v>175.20749840000002</v>
      </c>
      <c r="I13">
        <v>0</v>
      </c>
      <c r="K13" s="9">
        <v>0</v>
      </c>
      <c r="L13" s="9"/>
      <c r="M13" t="b">
        <v>0</v>
      </c>
      <c r="N13">
        <v>0</v>
      </c>
      <c r="O13">
        <v>1</v>
      </c>
    </row>
    <row r="14" spans="1:15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0</v>
      </c>
      <c r="K14" s="9">
        <v>0</v>
      </c>
      <c r="L14" s="9"/>
      <c r="M14" t="b">
        <v>0</v>
      </c>
      <c r="N14">
        <v>0</v>
      </c>
      <c r="O14">
        <v>1</v>
      </c>
    </row>
    <row r="15" spans="1:15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254.096709</v>
      </c>
      <c r="G15">
        <v>0</v>
      </c>
      <c r="H15">
        <v>254.096709</v>
      </c>
      <c r="I15">
        <v>0</v>
      </c>
      <c r="K15" s="9">
        <v>0</v>
      </c>
      <c r="L15" s="9"/>
      <c r="M15" t="b">
        <v>0</v>
      </c>
      <c r="N15">
        <v>0</v>
      </c>
      <c r="O15">
        <v>1</v>
      </c>
    </row>
    <row r="16" spans="1:15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6.835487999999998</v>
      </c>
      <c r="G16">
        <v>0</v>
      </c>
      <c r="H16">
        <v>6.835487999999998</v>
      </c>
      <c r="I16">
        <v>0</v>
      </c>
      <c r="K16" s="9">
        <v>0</v>
      </c>
      <c r="L16" s="9"/>
      <c r="M16" t="b">
        <v>0</v>
      </c>
      <c r="N16">
        <v>0</v>
      </c>
      <c r="O16">
        <v>1</v>
      </c>
    </row>
    <row r="17" spans="1:15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0</v>
      </c>
      <c r="K17" s="9">
        <v>0</v>
      </c>
      <c r="L17" s="9"/>
      <c r="M17" t="b">
        <v>0</v>
      </c>
      <c r="N17">
        <v>0</v>
      </c>
      <c r="O17">
        <v>1</v>
      </c>
    </row>
    <row r="18" spans="1:15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0</v>
      </c>
      <c r="K18" s="9">
        <v>0</v>
      </c>
      <c r="L18" s="9"/>
      <c r="M18" t="b">
        <v>0</v>
      </c>
      <c r="N18">
        <v>0</v>
      </c>
      <c r="O18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274</v>
      </c>
      <c r="J1" t="s">
        <v>275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76.466597938144332</v>
      </c>
      <c r="I2">
        <v>76.466597938144332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20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</v>
      </c>
      <c r="G2" t="s">
        <v>30</v>
      </c>
      <c r="H2">
        <v>1</v>
      </c>
      <c r="I2" t="s">
        <v>58</v>
      </c>
      <c r="J2">
        <v>13.156250000000002</v>
      </c>
    </row>
    <row r="3" spans="1:10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2</v>
      </c>
      <c r="G3" t="s">
        <v>30</v>
      </c>
      <c r="H3">
        <v>1</v>
      </c>
      <c r="I3" t="s">
        <v>58</v>
      </c>
      <c r="J3">
        <v>352.24375000000003</v>
      </c>
    </row>
    <row r="4" spans="1:10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2</v>
      </c>
      <c r="G4" t="s">
        <v>30</v>
      </c>
      <c r="H4">
        <v>1</v>
      </c>
      <c r="I4" t="s">
        <v>59</v>
      </c>
      <c r="J4">
        <v>519.875</v>
      </c>
    </row>
    <row r="5" spans="1:10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</v>
      </c>
      <c r="G5" t="s">
        <v>30</v>
      </c>
      <c r="H5">
        <v>1</v>
      </c>
      <c r="I5" t="s">
        <v>58</v>
      </c>
      <c r="J5">
        <v>2.940104166666667</v>
      </c>
    </row>
    <row r="6" spans="1:10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</v>
      </c>
      <c r="G6" t="s">
        <v>30</v>
      </c>
      <c r="H6">
        <v>1</v>
      </c>
      <c r="I6" t="s">
        <v>58</v>
      </c>
      <c r="J6">
        <v>2.8750000000000004</v>
      </c>
    </row>
    <row r="7" spans="1:10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</v>
      </c>
      <c r="G7" t="s">
        <v>30</v>
      </c>
      <c r="H7">
        <v>1</v>
      </c>
      <c r="I7" t="s">
        <v>58</v>
      </c>
      <c r="J7">
        <v>23.672916666666652</v>
      </c>
    </row>
    <row r="8" spans="1:10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2</v>
      </c>
      <c r="G8" t="s">
        <v>30</v>
      </c>
      <c r="H8">
        <v>1</v>
      </c>
      <c r="I8" t="s">
        <v>58</v>
      </c>
      <c r="J8">
        <v>20833.333333333332</v>
      </c>
    </row>
    <row r="9" spans="1:10" x14ac:dyDescent="0.3">
      <c r="A9">
        <v>1</v>
      </c>
      <c r="B9" t="s">
        <v>284</v>
      </c>
      <c r="C9">
        <v>102</v>
      </c>
      <c r="D9" t="s">
        <v>18</v>
      </c>
      <c r="E9">
        <v>2</v>
      </c>
      <c r="F9">
        <v>1</v>
      </c>
      <c r="G9" t="s">
        <v>39</v>
      </c>
      <c r="H9">
        <v>2</v>
      </c>
      <c r="I9" t="s">
        <v>58</v>
      </c>
      <c r="J9">
        <v>9632.3304166666676</v>
      </c>
    </row>
    <row r="10" spans="1:10" x14ac:dyDescent="0.3">
      <c r="A10">
        <v>1</v>
      </c>
      <c r="B10" t="s">
        <v>284</v>
      </c>
      <c r="C10">
        <v>116</v>
      </c>
      <c r="D10" t="s">
        <v>34</v>
      </c>
      <c r="E10">
        <v>2</v>
      </c>
      <c r="F10">
        <v>2</v>
      </c>
      <c r="G10" t="s">
        <v>30</v>
      </c>
      <c r="H10">
        <v>1</v>
      </c>
      <c r="I10" t="s">
        <v>59</v>
      </c>
      <c r="J10">
        <v>32.087500000000006</v>
      </c>
    </row>
    <row r="11" spans="1:10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2</v>
      </c>
      <c r="G11" t="s">
        <v>30</v>
      </c>
      <c r="H11">
        <v>1</v>
      </c>
      <c r="I11" t="s">
        <v>58</v>
      </c>
      <c r="J11">
        <v>4.5437500000000011</v>
      </c>
    </row>
    <row r="12" spans="1:10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2</v>
      </c>
      <c r="G12" t="s">
        <v>30</v>
      </c>
      <c r="H12">
        <v>1</v>
      </c>
      <c r="I12" t="s">
        <v>58</v>
      </c>
      <c r="J12">
        <v>1048.8645833333335</v>
      </c>
    </row>
    <row r="13" spans="1:10" x14ac:dyDescent="0.3">
      <c r="A13">
        <v>2</v>
      </c>
      <c r="B13" t="s">
        <v>285</v>
      </c>
      <c r="C13">
        <v>93</v>
      </c>
      <c r="D13" t="s">
        <v>29</v>
      </c>
      <c r="E13">
        <v>0</v>
      </c>
      <c r="F13">
        <v>3</v>
      </c>
      <c r="G13" t="s">
        <v>32</v>
      </c>
      <c r="H13">
        <v>1</v>
      </c>
      <c r="I13" t="s">
        <v>58</v>
      </c>
      <c r="J13">
        <v>76.466597938144332</v>
      </c>
    </row>
    <row r="14" spans="1:10" x14ac:dyDescent="0.3">
      <c r="A14">
        <v>2</v>
      </c>
      <c r="B14" t="s">
        <v>285</v>
      </c>
      <c r="C14">
        <v>93</v>
      </c>
      <c r="D14" t="s">
        <v>29</v>
      </c>
      <c r="E14">
        <v>0</v>
      </c>
      <c r="F14">
        <v>2</v>
      </c>
      <c r="G14" t="s">
        <v>30</v>
      </c>
      <c r="H14">
        <v>2</v>
      </c>
      <c r="I14" t="s">
        <v>58</v>
      </c>
      <c r="J14">
        <v>19.294518061855669</v>
      </c>
    </row>
    <row r="15" spans="1:10" x14ac:dyDescent="0.3">
      <c r="A15">
        <v>2</v>
      </c>
      <c r="B15" t="s">
        <v>285</v>
      </c>
      <c r="C15">
        <v>94</v>
      </c>
      <c r="D15" t="s">
        <v>28</v>
      </c>
      <c r="E15">
        <v>0</v>
      </c>
      <c r="F15">
        <v>2</v>
      </c>
      <c r="G15" t="s">
        <v>30</v>
      </c>
      <c r="H15">
        <v>1</v>
      </c>
      <c r="I15" t="s">
        <v>59</v>
      </c>
      <c r="J15">
        <v>175.20749840000002</v>
      </c>
    </row>
    <row r="16" spans="1:10" x14ac:dyDescent="0.3">
      <c r="A16">
        <v>2</v>
      </c>
      <c r="B16" t="s">
        <v>285</v>
      </c>
      <c r="C16">
        <v>102</v>
      </c>
      <c r="D16" t="s">
        <v>18</v>
      </c>
      <c r="E16">
        <v>0</v>
      </c>
      <c r="F16">
        <v>2</v>
      </c>
      <c r="G16" t="s">
        <v>30</v>
      </c>
      <c r="H16">
        <v>1</v>
      </c>
      <c r="I16" t="s">
        <v>58</v>
      </c>
      <c r="J16">
        <v>2382.0449097999999</v>
      </c>
    </row>
    <row r="17" spans="1:10" x14ac:dyDescent="0.3">
      <c r="A17">
        <v>2</v>
      </c>
      <c r="B17" t="s">
        <v>285</v>
      </c>
      <c r="C17">
        <v>120</v>
      </c>
      <c r="D17" t="s">
        <v>25</v>
      </c>
      <c r="E17">
        <v>0</v>
      </c>
      <c r="F17">
        <v>2</v>
      </c>
      <c r="G17" t="s">
        <v>30</v>
      </c>
      <c r="H17">
        <v>1</v>
      </c>
      <c r="I17" t="s">
        <v>59</v>
      </c>
      <c r="J17">
        <v>254.096709</v>
      </c>
    </row>
    <row r="18" spans="1:10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2</v>
      </c>
      <c r="G18" t="s">
        <v>30</v>
      </c>
      <c r="H18">
        <v>1</v>
      </c>
      <c r="I18" t="s">
        <v>59</v>
      </c>
      <c r="J18">
        <v>6.835487999999998</v>
      </c>
    </row>
    <row r="19" spans="1:10" x14ac:dyDescent="0.3">
      <c r="A19">
        <v>2</v>
      </c>
      <c r="B19" t="s">
        <v>285</v>
      </c>
      <c r="C19">
        <v>135</v>
      </c>
      <c r="D19" t="s">
        <v>27</v>
      </c>
      <c r="E19">
        <v>0</v>
      </c>
      <c r="F19">
        <v>2</v>
      </c>
      <c r="G19" t="s">
        <v>30</v>
      </c>
      <c r="H19">
        <v>1</v>
      </c>
      <c r="I19" t="s">
        <v>58</v>
      </c>
      <c r="J19">
        <v>43.075311999999983</v>
      </c>
    </row>
    <row r="20" spans="1:10" x14ac:dyDescent="0.3">
      <c r="A20">
        <v>2</v>
      </c>
      <c r="B20" t="s">
        <v>285</v>
      </c>
      <c r="C20">
        <v>145</v>
      </c>
      <c r="D20" t="s">
        <v>19</v>
      </c>
      <c r="E20">
        <v>0</v>
      </c>
      <c r="F20">
        <v>2</v>
      </c>
      <c r="G20" t="s">
        <v>30</v>
      </c>
      <c r="H20">
        <v>1</v>
      </c>
      <c r="I20" t="s">
        <v>58</v>
      </c>
      <c r="J20">
        <v>442.4941849400002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J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9.875" bestFit="1" customWidth="1"/>
    <col min="7" max="7" width="24.875" bestFit="1" customWidth="1"/>
    <col min="8" max="8" width="23.5" bestFit="1" customWidth="1"/>
    <col min="9" max="9" width="26.125" bestFit="1" customWidth="1"/>
    <col min="10" max="10" width="25.3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</row>
    <row r="2" spans="1:10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J2">
        <v>13.156250000000002</v>
      </c>
    </row>
    <row r="3" spans="1:10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61.250000000000007</v>
      </c>
      <c r="J3">
        <v>413.49375000000003</v>
      </c>
    </row>
    <row r="4" spans="1:10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-519.875</v>
      </c>
      <c r="G4">
        <v>519.875</v>
      </c>
      <c r="H4">
        <v>0</v>
      </c>
      <c r="I4">
        <v>623.95833333333337</v>
      </c>
      <c r="J4">
        <v>104.08333333333334</v>
      </c>
    </row>
    <row r="5" spans="1:10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0.17968750000000003</v>
      </c>
      <c r="J5">
        <v>3.119791666666667</v>
      </c>
    </row>
    <row r="6" spans="1:10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J6">
        <v>2.8750000000000004</v>
      </c>
    </row>
    <row r="7" spans="1:10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413.49375000000003</v>
      </c>
      <c r="J7">
        <v>437.16666666666669</v>
      </c>
    </row>
    <row r="8" spans="1:10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17664.46125</v>
      </c>
      <c r="J8">
        <v>48130.125</v>
      </c>
    </row>
    <row r="9" spans="1:10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-32.087500000000006</v>
      </c>
      <c r="G9">
        <v>32.087500000000006</v>
      </c>
      <c r="H9">
        <v>0</v>
      </c>
      <c r="I9">
        <v>32.087500000000006</v>
      </c>
      <c r="J9">
        <v>0</v>
      </c>
    </row>
    <row r="10" spans="1:10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11.500000000000002</v>
      </c>
      <c r="J10">
        <v>16.043750000000003</v>
      </c>
    </row>
    <row r="11" spans="1:10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645.33333333333337</v>
      </c>
      <c r="J11">
        <v>1694.1979166666667</v>
      </c>
    </row>
    <row r="12" spans="1:10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95.761116000000001</v>
      </c>
      <c r="G12">
        <v>0</v>
      </c>
      <c r="H12">
        <v>95.761116000000001</v>
      </c>
      <c r="I12">
        <v>0</v>
      </c>
      <c r="J12">
        <v>95.761116000000001</v>
      </c>
    </row>
    <row r="13" spans="1:10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-175.20749840000002</v>
      </c>
      <c r="G13">
        <v>175.20749840000002</v>
      </c>
      <c r="H13">
        <v>0</v>
      </c>
      <c r="I13">
        <v>478.80558000000002</v>
      </c>
      <c r="J13">
        <v>303.5980816</v>
      </c>
    </row>
    <row r="14" spans="1:10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397.95111020000002</v>
      </c>
      <c r="J14">
        <v>2779.99602</v>
      </c>
    </row>
    <row r="15" spans="1:10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-254.096709</v>
      </c>
      <c r="G15">
        <v>254.096709</v>
      </c>
      <c r="H15">
        <v>0</v>
      </c>
      <c r="I15">
        <v>435.59902160000001</v>
      </c>
      <c r="J15">
        <v>181.50231260000001</v>
      </c>
    </row>
    <row r="16" spans="1:10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-6.835487999999998</v>
      </c>
      <c r="G16">
        <v>6.835487999999998</v>
      </c>
      <c r="H16">
        <v>0</v>
      </c>
      <c r="I16">
        <v>95.761116000000001</v>
      </c>
      <c r="J16">
        <v>88.925628000000003</v>
      </c>
    </row>
    <row r="17" spans="1:10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88.925628000000003</v>
      </c>
      <c r="J17">
        <v>132.00093999999999</v>
      </c>
    </row>
    <row r="18" spans="1:10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1324.9472960599999</v>
      </c>
      <c r="J18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F17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5.3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53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413.49375000000003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104.08333333333334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3.119791666666667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437.16666666666669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48130.125</v>
      </c>
    </row>
    <row r="9" spans="1:6" x14ac:dyDescent="0.3">
      <c r="A9">
        <v>1</v>
      </c>
      <c r="B9" t="s">
        <v>284</v>
      </c>
      <c r="C9">
        <v>121</v>
      </c>
      <c r="D9" t="s">
        <v>22</v>
      </c>
      <c r="E9">
        <v>2</v>
      </c>
      <c r="F9">
        <v>16.043750000000003</v>
      </c>
    </row>
    <row r="10" spans="1:6" x14ac:dyDescent="0.3">
      <c r="A10">
        <v>1</v>
      </c>
      <c r="B10" t="s">
        <v>284</v>
      </c>
      <c r="C10">
        <v>145</v>
      </c>
      <c r="D10" t="s">
        <v>19</v>
      </c>
      <c r="E10">
        <v>2</v>
      </c>
      <c r="F10">
        <v>1694.1979166666667</v>
      </c>
    </row>
    <row r="11" spans="1:6" x14ac:dyDescent="0.3">
      <c r="A11">
        <v>2</v>
      </c>
      <c r="B11" t="s">
        <v>285</v>
      </c>
      <c r="C11">
        <v>93</v>
      </c>
      <c r="D11" t="s">
        <v>29</v>
      </c>
      <c r="E11">
        <v>0</v>
      </c>
      <c r="F11">
        <v>95.761116000000001</v>
      </c>
    </row>
    <row r="12" spans="1:6" x14ac:dyDescent="0.3">
      <c r="A12">
        <v>2</v>
      </c>
      <c r="B12" t="s">
        <v>285</v>
      </c>
      <c r="C12">
        <v>94</v>
      </c>
      <c r="D12" t="s">
        <v>28</v>
      </c>
      <c r="E12">
        <v>0</v>
      </c>
      <c r="F12">
        <v>303.5980816</v>
      </c>
    </row>
    <row r="13" spans="1:6" x14ac:dyDescent="0.3">
      <c r="A13">
        <v>2</v>
      </c>
      <c r="B13" t="s">
        <v>285</v>
      </c>
      <c r="C13">
        <v>102</v>
      </c>
      <c r="D13" t="s">
        <v>18</v>
      </c>
      <c r="E13">
        <v>0</v>
      </c>
      <c r="F13">
        <v>2779.99602</v>
      </c>
    </row>
    <row r="14" spans="1:6" x14ac:dyDescent="0.3">
      <c r="A14">
        <v>2</v>
      </c>
      <c r="B14" t="s">
        <v>285</v>
      </c>
      <c r="C14">
        <v>120</v>
      </c>
      <c r="D14" t="s">
        <v>25</v>
      </c>
      <c r="E14">
        <v>0</v>
      </c>
      <c r="F14">
        <v>181.50231260000001</v>
      </c>
    </row>
    <row r="15" spans="1:6" x14ac:dyDescent="0.3">
      <c r="A15">
        <v>2</v>
      </c>
      <c r="B15" t="s">
        <v>285</v>
      </c>
      <c r="C15">
        <v>134</v>
      </c>
      <c r="D15" t="s">
        <v>26</v>
      </c>
      <c r="E15">
        <v>0</v>
      </c>
      <c r="F15">
        <v>88.925628000000003</v>
      </c>
    </row>
    <row r="16" spans="1:6" x14ac:dyDescent="0.3">
      <c r="A16">
        <v>2</v>
      </c>
      <c r="B16" t="s">
        <v>285</v>
      </c>
      <c r="C16">
        <v>135</v>
      </c>
      <c r="D16" t="s">
        <v>27</v>
      </c>
      <c r="E16">
        <v>0</v>
      </c>
      <c r="F16">
        <v>132.00093999999999</v>
      </c>
    </row>
    <row r="17" spans="1:6" x14ac:dyDescent="0.3">
      <c r="A17">
        <v>2</v>
      </c>
      <c r="B17" t="s">
        <v>285</v>
      </c>
      <c r="C17">
        <v>145</v>
      </c>
      <c r="D17" t="s">
        <v>19</v>
      </c>
      <c r="E17">
        <v>0</v>
      </c>
      <c r="F17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F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26.1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52</v>
      </c>
    </row>
    <row r="2" spans="1:6" x14ac:dyDescent="0.3">
      <c r="A2">
        <v>1</v>
      </c>
      <c r="B2" t="s">
        <v>284</v>
      </c>
      <c r="C2">
        <v>23</v>
      </c>
      <c r="D2" t="s">
        <v>21</v>
      </c>
      <c r="E2">
        <v>2</v>
      </c>
      <c r="F2">
        <v>61.250000000000007</v>
      </c>
    </row>
    <row r="3" spans="1:6" x14ac:dyDescent="0.3">
      <c r="A3">
        <v>1</v>
      </c>
      <c r="B3" t="s">
        <v>284</v>
      </c>
      <c r="C3">
        <v>62</v>
      </c>
      <c r="D3" t="s">
        <v>23</v>
      </c>
      <c r="E3">
        <v>2</v>
      </c>
      <c r="F3">
        <v>623.95833333333337</v>
      </c>
    </row>
    <row r="4" spans="1:6" x14ac:dyDescent="0.3">
      <c r="A4">
        <v>1</v>
      </c>
      <c r="B4" t="s">
        <v>284</v>
      </c>
      <c r="C4">
        <v>63</v>
      </c>
      <c r="D4" t="s">
        <v>33</v>
      </c>
      <c r="E4">
        <v>2</v>
      </c>
      <c r="F4">
        <v>0.17968750000000003</v>
      </c>
    </row>
    <row r="5" spans="1:6" x14ac:dyDescent="0.3">
      <c r="A5">
        <v>1</v>
      </c>
      <c r="B5" t="s">
        <v>284</v>
      </c>
      <c r="C5">
        <v>88</v>
      </c>
      <c r="D5" t="s">
        <v>24</v>
      </c>
      <c r="E5">
        <v>2</v>
      </c>
      <c r="F5">
        <v>413.49375000000003</v>
      </c>
    </row>
    <row r="6" spans="1:6" x14ac:dyDescent="0.3">
      <c r="A6">
        <v>1</v>
      </c>
      <c r="B6" t="s">
        <v>284</v>
      </c>
      <c r="C6">
        <v>102</v>
      </c>
      <c r="D6" t="s">
        <v>18</v>
      </c>
      <c r="E6">
        <v>2</v>
      </c>
      <c r="F6">
        <v>17664.46125</v>
      </c>
    </row>
    <row r="7" spans="1:6" x14ac:dyDescent="0.3">
      <c r="A7">
        <v>1</v>
      </c>
      <c r="B7" t="s">
        <v>284</v>
      </c>
      <c r="C7">
        <v>116</v>
      </c>
      <c r="D7" t="s">
        <v>34</v>
      </c>
      <c r="E7">
        <v>2</v>
      </c>
      <c r="F7">
        <v>32.087500000000006</v>
      </c>
    </row>
    <row r="8" spans="1:6" x14ac:dyDescent="0.3">
      <c r="A8">
        <v>1</v>
      </c>
      <c r="B8" t="s">
        <v>284</v>
      </c>
      <c r="C8">
        <v>121</v>
      </c>
      <c r="D8" t="s">
        <v>22</v>
      </c>
      <c r="E8">
        <v>2</v>
      </c>
      <c r="F8">
        <v>11.500000000000002</v>
      </c>
    </row>
    <row r="9" spans="1:6" x14ac:dyDescent="0.3">
      <c r="A9">
        <v>1</v>
      </c>
      <c r="B9" t="s">
        <v>284</v>
      </c>
      <c r="C9">
        <v>145</v>
      </c>
      <c r="D9" t="s">
        <v>19</v>
      </c>
      <c r="E9">
        <v>2</v>
      </c>
      <c r="F9">
        <v>645.33333333333337</v>
      </c>
    </row>
    <row r="10" spans="1:6" x14ac:dyDescent="0.3">
      <c r="A10">
        <v>2</v>
      </c>
      <c r="B10" t="s">
        <v>285</v>
      </c>
      <c r="C10">
        <v>94</v>
      </c>
      <c r="D10" t="s">
        <v>28</v>
      </c>
      <c r="E10">
        <v>0</v>
      </c>
      <c r="F10">
        <v>478.80558000000002</v>
      </c>
    </row>
    <row r="11" spans="1:6" x14ac:dyDescent="0.3">
      <c r="A11">
        <v>2</v>
      </c>
      <c r="B11" t="s">
        <v>285</v>
      </c>
      <c r="C11">
        <v>102</v>
      </c>
      <c r="D11" t="s">
        <v>18</v>
      </c>
      <c r="E11">
        <v>0</v>
      </c>
      <c r="F11">
        <v>397.95111020000002</v>
      </c>
    </row>
    <row r="12" spans="1:6" x14ac:dyDescent="0.3">
      <c r="A12">
        <v>2</v>
      </c>
      <c r="B12" t="s">
        <v>285</v>
      </c>
      <c r="C12">
        <v>120</v>
      </c>
      <c r="D12" t="s">
        <v>25</v>
      </c>
      <c r="E12">
        <v>0</v>
      </c>
      <c r="F12">
        <v>435.59902160000001</v>
      </c>
    </row>
    <row r="13" spans="1:6" x14ac:dyDescent="0.3">
      <c r="A13">
        <v>2</v>
      </c>
      <c r="B13" t="s">
        <v>285</v>
      </c>
      <c r="C13">
        <v>134</v>
      </c>
      <c r="D13" t="s">
        <v>26</v>
      </c>
      <c r="E13">
        <v>0</v>
      </c>
      <c r="F13">
        <v>95.761116000000001</v>
      </c>
    </row>
    <row r="14" spans="1:6" x14ac:dyDescent="0.3">
      <c r="A14">
        <v>2</v>
      </c>
      <c r="B14" t="s">
        <v>285</v>
      </c>
      <c r="C14">
        <v>135</v>
      </c>
      <c r="D14" t="s">
        <v>27</v>
      </c>
      <c r="E14">
        <v>0</v>
      </c>
      <c r="F14">
        <v>88.925628000000003</v>
      </c>
    </row>
    <row r="15" spans="1:6" x14ac:dyDescent="0.3">
      <c r="A15">
        <v>2</v>
      </c>
      <c r="B15" t="s">
        <v>285</v>
      </c>
      <c r="C15">
        <v>145</v>
      </c>
      <c r="D15" t="s">
        <v>19</v>
      </c>
      <c r="E15">
        <v>0</v>
      </c>
      <c r="F15">
        <v>1324.9472960599999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282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23</v>
      </c>
      <c r="G2" t="s">
        <v>21</v>
      </c>
      <c r="H2">
        <v>2</v>
      </c>
      <c r="I2">
        <v>52.625000000000007</v>
      </c>
    </row>
    <row r="3" spans="1:9" x14ac:dyDescent="0.3">
      <c r="A3">
        <v>1</v>
      </c>
      <c r="B3" t="s">
        <v>284</v>
      </c>
      <c r="C3">
        <v>69</v>
      </c>
      <c r="D3" t="s">
        <v>31</v>
      </c>
      <c r="E3">
        <v>2</v>
      </c>
      <c r="F3">
        <v>23</v>
      </c>
      <c r="G3" t="s">
        <v>21</v>
      </c>
      <c r="H3">
        <v>2</v>
      </c>
      <c r="I3">
        <v>8.6250000000000018</v>
      </c>
    </row>
    <row r="4" spans="1:9" x14ac:dyDescent="0.3">
      <c r="A4">
        <v>1</v>
      </c>
      <c r="B4" t="s">
        <v>284</v>
      </c>
      <c r="C4">
        <v>63</v>
      </c>
      <c r="D4" t="s">
        <v>33</v>
      </c>
      <c r="E4">
        <v>2</v>
      </c>
      <c r="F4">
        <v>62</v>
      </c>
      <c r="G4" t="s">
        <v>23</v>
      </c>
      <c r="H4">
        <v>2</v>
      </c>
      <c r="I4">
        <v>623.95833333333337</v>
      </c>
    </row>
    <row r="5" spans="1:9" x14ac:dyDescent="0.3">
      <c r="A5">
        <v>1</v>
      </c>
      <c r="B5" t="s">
        <v>284</v>
      </c>
      <c r="C5">
        <v>69</v>
      </c>
      <c r="D5" t="s">
        <v>31</v>
      </c>
      <c r="E5">
        <v>2</v>
      </c>
      <c r="F5">
        <v>63</v>
      </c>
      <c r="G5" t="s">
        <v>33</v>
      </c>
      <c r="H5">
        <v>2</v>
      </c>
      <c r="I5">
        <v>0.17968750000000003</v>
      </c>
    </row>
    <row r="6" spans="1:9" x14ac:dyDescent="0.3">
      <c r="A6">
        <v>1</v>
      </c>
      <c r="B6" t="s">
        <v>284</v>
      </c>
      <c r="C6">
        <v>23</v>
      </c>
      <c r="D6" t="s">
        <v>21</v>
      </c>
      <c r="E6">
        <v>2</v>
      </c>
      <c r="F6">
        <v>88</v>
      </c>
      <c r="G6" t="s">
        <v>24</v>
      </c>
      <c r="H6">
        <v>2</v>
      </c>
      <c r="I6">
        <v>413.49375000000003</v>
      </c>
    </row>
    <row r="7" spans="1:9" x14ac:dyDescent="0.3">
      <c r="A7">
        <v>1</v>
      </c>
      <c r="B7" t="s">
        <v>284</v>
      </c>
      <c r="C7">
        <v>23</v>
      </c>
      <c r="D7" t="s">
        <v>21</v>
      </c>
      <c r="E7">
        <v>2</v>
      </c>
      <c r="F7">
        <v>102</v>
      </c>
      <c r="G7" t="s">
        <v>18</v>
      </c>
      <c r="H7">
        <v>2</v>
      </c>
      <c r="I7">
        <v>82.698750000000018</v>
      </c>
    </row>
    <row r="8" spans="1:9" x14ac:dyDescent="0.3">
      <c r="A8">
        <v>1</v>
      </c>
      <c r="B8" t="s">
        <v>284</v>
      </c>
      <c r="C8">
        <v>62</v>
      </c>
      <c r="D8" t="s">
        <v>23</v>
      </c>
      <c r="E8">
        <v>2</v>
      </c>
      <c r="F8">
        <v>102</v>
      </c>
      <c r="G8" t="s">
        <v>18</v>
      </c>
      <c r="H8">
        <v>2</v>
      </c>
      <c r="I8">
        <v>8326.6666666666679</v>
      </c>
    </row>
    <row r="9" spans="1:9" x14ac:dyDescent="0.3">
      <c r="A9">
        <v>1</v>
      </c>
      <c r="B9" t="s">
        <v>284</v>
      </c>
      <c r="C9">
        <v>63</v>
      </c>
      <c r="D9" t="s">
        <v>33</v>
      </c>
      <c r="E9">
        <v>2</v>
      </c>
      <c r="F9">
        <v>102</v>
      </c>
      <c r="G9" t="s">
        <v>18</v>
      </c>
      <c r="H9">
        <v>2</v>
      </c>
      <c r="I9">
        <v>124.79166666666669</v>
      </c>
    </row>
    <row r="10" spans="1:9" x14ac:dyDescent="0.3">
      <c r="A10">
        <v>1</v>
      </c>
      <c r="B10" t="s">
        <v>284</v>
      </c>
      <c r="C10">
        <v>88</v>
      </c>
      <c r="D10" t="s">
        <v>24</v>
      </c>
      <c r="E10">
        <v>2</v>
      </c>
      <c r="F10">
        <v>102</v>
      </c>
      <c r="G10" t="s">
        <v>18</v>
      </c>
      <c r="H10">
        <v>2</v>
      </c>
      <c r="I10">
        <v>8743.3333333333339</v>
      </c>
    </row>
    <row r="11" spans="1:9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102</v>
      </c>
      <c r="G11" t="s">
        <v>18</v>
      </c>
      <c r="H11">
        <v>2</v>
      </c>
      <c r="I11">
        <v>48.131250000000009</v>
      </c>
    </row>
    <row r="12" spans="1:9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102</v>
      </c>
      <c r="G12" t="s">
        <v>18</v>
      </c>
      <c r="H12">
        <v>2</v>
      </c>
      <c r="I12">
        <v>338.83958333333339</v>
      </c>
    </row>
    <row r="13" spans="1:9" x14ac:dyDescent="0.3">
      <c r="A13">
        <v>1</v>
      </c>
      <c r="B13" t="s">
        <v>284</v>
      </c>
      <c r="C13">
        <v>121</v>
      </c>
      <c r="D13" t="s">
        <v>22</v>
      </c>
      <c r="E13">
        <v>2</v>
      </c>
      <c r="F13">
        <v>116</v>
      </c>
      <c r="G13" t="s">
        <v>34</v>
      </c>
      <c r="H13">
        <v>2</v>
      </c>
      <c r="I13">
        <v>32.087500000000006</v>
      </c>
    </row>
    <row r="14" spans="1:9" x14ac:dyDescent="0.3">
      <c r="A14">
        <v>1</v>
      </c>
      <c r="B14" t="s">
        <v>284</v>
      </c>
      <c r="C14">
        <v>69</v>
      </c>
      <c r="D14" t="s">
        <v>31</v>
      </c>
      <c r="E14">
        <v>2</v>
      </c>
      <c r="F14">
        <v>121</v>
      </c>
      <c r="G14" t="s">
        <v>22</v>
      </c>
      <c r="H14">
        <v>2</v>
      </c>
      <c r="I14">
        <v>11.500000000000002</v>
      </c>
    </row>
    <row r="15" spans="1:9" x14ac:dyDescent="0.3">
      <c r="A15">
        <v>1</v>
      </c>
      <c r="B15" t="s">
        <v>284</v>
      </c>
      <c r="C15">
        <v>62</v>
      </c>
      <c r="D15" t="s">
        <v>23</v>
      </c>
      <c r="E15">
        <v>2</v>
      </c>
      <c r="F15">
        <v>145</v>
      </c>
      <c r="G15" t="s">
        <v>19</v>
      </c>
      <c r="H15">
        <v>2</v>
      </c>
      <c r="I15">
        <v>208.16666666666669</v>
      </c>
    </row>
    <row r="16" spans="1:9" x14ac:dyDescent="0.3">
      <c r="A16">
        <v>1</v>
      </c>
      <c r="B16" t="s">
        <v>284</v>
      </c>
      <c r="C16">
        <v>88</v>
      </c>
      <c r="D16" t="s">
        <v>24</v>
      </c>
      <c r="E16">
        <v>2</v>
      </c>
      <c r="F16">
        <v>145</v>
      </c>
      <c r="G16" t="s">
        <v>19</v>
      </c>
      <c r="H16">
        <v>2</v>
      </c>
      <c r="I16">
        <v>437.16666666666669</v>
      </c>
    </row>
    <row r="17" spans="1:9" x14ac:dyDescent="0.3">
      <c r="A17">
        <v>2</v>
      </c>
      <c r="B17" t="s">
        <v>285</v>
      </c>
      <c r="C17">
        <v>93</v>
      </c>
      <c r="D17" t="s">
        <v>29</v>
      </c>
      <c r="E17">
        <v>0</v>
      </c>
      <c r="F17">
        <v>94</v>
      </c>
      <c r="G17" t="s">
        <v>28</v>
      </c>
      <c r="H17">
        <v>0</v>
      </c>
      <c r="I17">
        <v>478.80558000000002</v>
      </c>
    </row>
    <row r="18" spans="1:9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102</v>
      </c>
      <c r="G18" t="s">
        <v>18</v>
      </c>
      <c r="H18">
        <v>0</v>
      </c>
      <c r="I18">
        <v>44.462814000000002</v>
      </c>
    </row>
    <row r="19" spans="1:9" x14ac:dyDescent="0.3">
      <c r="A19">
        <v>2</v>
      </c>
      <c r="B19" t="s">
        <v>285</v>
      </c>
      <c r="C19">
        <v>145</v>
      </c>
      <c r="D19" t="s">
        <v>19</v>
      </c>
      <c r="E19">
        <v>0</v>
      </c>
      <c r="F19">
        <v>102</v>
      </c>
      <c r="G19" t="s">
        <v>18</v>
      </c>
      <c r="H19">
        <v>0</v>
      </c>
      <c r="I19">
        <v>353.48829620000004</v>
      </c>
    </row>
    <row r="20" spans="1:9" x14ac:dyDescent="0.3">
      <c r="A20">
        <v>2</v>
      </c>
      <c r="B20" t="s">
        <v>285</v>
      </c>
      <c r="C20">
        <v>94</v>
      </c>
      <c r="D20" t="s">
        <v>28</v>
      </c>
      <c r="E20">
        <v>0</v>
      </c>
      <c r="F20">
        <v>120</v>
      </c>
      <c r="G20" t="s">
        <v>25</v>
      </c>
      <c r="H20">
        <v>0</v>
      </c>
      <c r="I20">
        <v>303.5980816</v>
      </c>
    </row>
    <row r="21" spans="1:9" x14ac:dyDescent="0.3">
      <c r="A21">
        <v>2</v>
      </c>
      <c r="B21" t="s">
        <v>285</v>
      </c>
      <c r="C21">
        <v>135</v>
      </c>
      <c r="D21" t="s">
        <v>27</v>
      </c>
      <c r="E21">
        <v>0</v>
      </c>
      <c r="F21">
        <v>120</v>
      </c>
      <c r="G21" t="s">
        <v>25</v>
      </c>
      <c r="H21">
        <v>0</v>
      </c>
      <c r="I21">
        <v>132.00093999999999</v>
      </c>
    </row>
    <row r="22" spans="1:9" x14ac:dyDescent="0.3">
      <c r="A22">
        <v>2</v>
      </c>
      <c r="B22" t="s">
        <v>285</v>
      </c>
      <c r="C22">
        <v>93</v>
      </c>
      <c r="D22" t="s">
        <v>29</v>
      </c>
      <c r="E22">
        <v>0</v>
      </c>
      <c r="F22">
        <v>134</v>
      </c>
      <c r="G22" t="s">
        <v>26</v>
      </c>
      <c r="H22">
        <v>0</v>
      </c>
      <c r="I22">
        <v>95.761116000000001</v>
      </c>
    </row>
    <row r="23" spans="1:9" x14ac:dyDescent="0.3">
      <c r="A23">
        <v>2</v>
      </c>
      <c r="B23" t="s">
        <v>285</v>
      </c>
      <c r="C23">
        <v>134</v>
      </c>
      <c r="D23" t="s">
        <v>26</v>
      </c>
      <c r="E23">
        <v>0</v>
      </c>
      <c r="F23">
        <v>135</v>
      </c>
      <c r="G23" t="s">
        <v>27</v>
      </c>
      <c r="H23">
        <v>0</v>
      </c>
      <c r="I23">
        <v>88.925628000000003</v>
      </c>
    </row>
    <row r="24" spans="1:9" x14ac:dyDescent="0.3">
      <c r="A24">
        <v>2</v>
      </c>
      <c r="B24" t="s">
        <v>285</v>
      </c>
      <c r="C24">
        <v>94</v>
      </c>
      <c r="D24" t="s">
        <v>28</v>
      </c>
      <c r="E24">
        <v>0</v>
      </c>
      <c r="F24">
        <v>145</v>
      </c>
      <c r="G24" t="s">
        <v>19</v>
      </c>
      <c r="H24">
        <v>0</v>
      </c>
      <c r="I24">
        <v>910.7942448</v>
      </c>
    </row>
    <row r="25" spans="1:9" x14ac:dyDescent="0.3">
      <c r="A25">
        <v>2</v>
      </c>
      <c r="B25" t="s">
        <v>285</v>
      </c>
      <c r="C25">
        <v>120</v>
      </c>
      <c r="D25" t="s">
        <v>25</v>
      </c>
      <c r="E25">
        <v>0</v>
      </c>
      <c r="F25">
        <v>145</v>
      </c>
      <c r="G25" t="s">
        <v>19</v>
      </c>
      <c r="H25">
        <v>0</v>
      </c>
      <c r="I25">
        <v>18.150231260000002</v>
      </c>
    </row>
    <row r="26" spans="1:9" x14ac:dyDescent="0.3">
      <c r="A26">
        <v>2</v>
      </c>
      <c r="B26" t="s">
        <v>285</v>
      </c>
      <c r="C26">
        <v>135</v>
      </c>
      <c r="D26" t="s">
        <v>27</v>
      </c>
      <c r="E26">
        <v>0</v>
      </c>
      <c r="F26">
        <v>145</v>
      </c>
      <c r="G26" t="s">
        <v>19</v>
      </c>
      <c r="H26">
        <v>0</v>
      </c>
      <c r="I26">
        <v>396.00281999999993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8</vt:i4>
      </vt:variant>
    </vt:vector>
  </HeadingPairs>
  <TitlesOfParts>
    <vt:vector size="29" baseType="lpstr">
      <vt:lpstr>Paths</vt:lpstr>
      <vt:lpstr>_ref_economic_phase</vt:lpstr>
      <vt:lpstr>Inputs</vt:lpstr>
      <vt:lpstr>Output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2026-06-17T20:58:51Z</dcterms:modified>
  <cp:category/>
  <cp:contentStatus/>
</cp:coreProperties>
</file>