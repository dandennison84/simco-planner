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de\Documents\simco-planner\runtime\"/>
    </mc:Choice>
  </mc:AlternateContent>
  <xr:revisionPtr revIDLastSave="0" documentId="13_ncr:1_{A4562353-D9A7-41BC-81E6-2526D478D9FD}" xr6:coauthVersionLast="47" xr6:coauthVersionMax="47" xr10:uidLastSave="{00000000-0000-0000-0000-000000000000}"/>
  <bookViews>
    <workbookView xWindow="-120" yWindow="-120" windowWidth="29040" windowHeight="15720" firstSheet="9" activeTab="14" xr2:uid="{005547BF-1833-45E8-9E6B-655A694EBD70}"/>
  </bookViews>
  <sheets>
    <sheet name="Paths" sheetId="150" r:id="rId1"/>
    <sheet name="_ref_economic_phase" sheetId="163" state="hidden" r:id="rId2"/>
    <sheet name="Inputs" sheetId="132" r:id="rId3"/>
    <sheet name="Output" sheetId="133" r:id="rId4"/>
    <sheet name="plan_health" sheetId="172" r:id="rId5"/>
    <sheet name="constraint_type" sheetId="170" r:id="rId6"/>
    <sheet name="retail_unused_capacity" sheetId="169" r:id="rId7"/>
    <sheet name="product_role_classification" sheetId="168" r:id="rId8"/>
    <sheet name="product_flow_classification" sheetId="166" r:id="rId9"/>
    <sheet name="allocation_summary" sheetId="151" r:id="rId10"/>
    <sheet name="retail_bottleneck_detail" sheetId="165" r:id="rId11"/>
    <sheet name="retail_allocation_result" sheetId="164" r:id="rId12"/>
    <sheet name="clearing_result" sheetId="155" r:id="rId13"/>
    <sheet name="balance_plan" sheetId="152" r:id="rId14"/>
    <sheet name="production_intent" sheetId="167" r:id="rId15"/>
    <sheet name="view_retail_priority_path" sheetId="171" r:id="rId16"/>
    <sheet name="product_bom_consumption" sheetId="154" r:id="rId17"/>
    <sheet name="product_bom_demand_detail" sheetId="157" r:id="rId18"/>
    <sheet name="_ref_building" sheetId="158" state="hidden" r:id="rId19"/>
    <sheet name="_ref_product" sheetId="159" state="hidden" r:id="rId20"/>
    <sheet name="_ref_realm" sheetId="160" state="hidden" r:id="rId21"/>
    <sheet name="_ref_channel" sheetId="161" state="hidden" r:id="rId22"/>
    <sheet name="Help" sheetId="141" r:id="rId23"/>
  </sheets>
  <definedNames>
    <definedName name="_xlpm.f" hidden="1" xlm="1">#NAME?</definedName>
    <definedName name="ExternalData_1" localSheetId="9" hidden="1">allocation_summary!$A$1:$O$18</definedName>
    <definedName name="ExternalData_1" localSheetId="17" hidden="1">product_bom_demand_detail!$A$1:$I$26</definedName>
    <definedName name="ExternalData_1" localSheetId="11" hidden="1">'retail_allocation_result'!$A$1:$I$2</definedName>
    <definedName name="ExternalData_2" localSheetId="13" hidden="1">balance_plan!$A$1:$K$18</definedName>
    <definedName name="ExternalData_2" localSheetId="10" hidden="1">'retail_bottleneck_detail'!$A$1:$J$2</definedName>
    <definedName name="ExternalData_3" localSheetId="8" hidden="1">product_flow_classification!$A$1:$G$18</definedName>
    <definedName name="ExternalData_3" localSheetId="7" hidden="1">product_role_classification!$A$1:$G$18</definedName>
    <definedName name="ExternalData_4" localSheetId="16" hidden="1">product_bom_consumption!$A$1:$G$15</definedName>
    <definedName name="ExternalData_4" localSheetId="6" hidden="1">'retail_unused_capacity'!$A$1:$J$2</definedName>
    <definedName name="ExternalData_5" localSheetId="12" hidden="1">'clearing_result'!$A$1:$J$19</definedName>
    <definedName name="ExternalData_5" localSheetId="5" hidden="1">'constraint_type'!$A$1:$G$18</definedName>
    <definedName name="ExternalData_5" localSheetId="14" hidden="1">production_intent!$A$1:$G$17</definedName>
    <definedName name="ExternalData_6" localSheetId="4" hidden="1">plan_health!$A$1:$R$8</definedName>
    <definedName name="ExternalData_6" localSheetId="15" hidden="1">view_retail_priority_path!$A$1:$H$19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EconomicPhaseNames">_ref_economic_phase!$B$2:$B$4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3" i="132" l="1"/>
  <c r="D114" i="132"/>
  <c r="D115" i="132"/>
  <c r="D116" i="132"/>
  <c r="D117" i="132"/>
  <c r="D118" i="132"/>
  <c r="D119" i="132"/>
  <c r="F188" i="132"/>
  <c r="C188" i="132"/>
  <c r="I172" i="132"/>
  <c r="G172" i="132"/>
  <c r="C172" i="132"/>
  <c r="I171" i="132"/>
  <c r="G171" i="132"/>
  <c r="C171" i="132"/>
  <c r="I170" i="132"/>
  <c r="G170" i="132"/>
  <c r="C170" i="132"/>
  <c r="I169" i="132"/>
  <c r="G169" i="132"/>
  <c r="C169" i="132"/>
  <c r="I168" i="132"/>
  <c r="G168" i="132"/>
  <c r="C168" i="132"/>
  <c r="I167" i="132"/>
  <c r="G167" i="132"/>
  <c r="C167" i="132"/>
  <c r="I166" i="132"/>
  <c r="G166" i="132"/>
  <c r="C166" i="132"/>
  <c r="I165" i="132"/>
  <c r="G165" i="132"/>
  <c r="C165" i="132"/>
  <c r="I164" i="132"/>
  <c r="G164" i="132"/>
  <c r="C164" i="132"/>
  <c r="I163" i="132"/>
  <c r="G163" i="132"/>
  <c r="C163" i="132"/>
  <c r="I162" i="132"/>
  <c r="G162" i="132"/>
  <c r="C162" i="132"/>
  <c r="I161" i="132"/>
  <c r="G161" i="132"/>
  <c r="C161" i="132"/>
  <c r="I160" i="132"/>
  <c r="G160" i="132"/>
  <c r="C160" i="132"/>
  <c r="I159" i="132"/>
  <c r="G159" i="132"/>
  <c r="C159" i="132"/>
  <c r="I158" i="132"/>
  <c r="G158" i="132"/>
  <c r="C158" i="132"/>
  <c r="I157" i="132"/>
  <c r="G157" i="132"/>
  <c r="C157" i="132"/>
  <c r="I156" i="132"/>
  <c r="G156" i="132"/>
  <c r="C156" i="132"/>
  <c r="I155" i="132"/>
  <c r="G155" i="132"/>
  <c r="C155" i="132"/>
  <c r="I154" i="132"/>
  <c r="G154" i="132"/>
  <c r="C154" i="132"/>
  <c r="D112" i="132"/>
  <c r="D111" i="132"/>
  <c r="D110" i="132"/>
  <c r="D109" i="132"/>
  <c r="D108" i="132"/>
  <c r="D107" i="132"/>
  <c r="D106" i="132"/>
  <c r="D105" i="132"/>
  <c r="D104" i="132"/>
  <c r="D103" i="132"/>
  <c r="D102" i="132"/>
  <c r="D101" i="132"/>
  <c r="D100" i="132"/>
  <c r="D99" i="132"/>
  <c r="D98" i="132"/>
  <c r="D97" i="132"/>
  <c r="D66" i="132"/>
  <c r="D65" i="132"/>
  <c r="D64" i="132"/>
  <c r="D63" i="132"/>
  <c r="D62" i="132"/>
  <c r="D61" i="132"/>
  <c r="D60" i="132"/>
  <c r="D59" i="132"/>
  <c r="D58" i="132"/>
  <c r="D57" i="132"/>
  <c r="D56" i="132"/>
  <c r="D55" i="132"/>
  <c r="D54" i="132"/>
  <c r="D53" i="132"/>
  <c r="D52" i="132"/>
  <c r="D51" i="132"/>
  <c r="D50" i="132"/>
  <c r="D49" i="132"/>
  <c r="D48" i="132"/>
  <c r="D47" i="132"/>
  <c r="D46" i="132"/>
  <c r="D45" i="132"/>
  <c r="D44" i="132"/>
  <c r="B247" i="132"/>
  <c r="D247" i="132"/>
  <c r="D10" i="132"/>
  <c r="F10" i="132"/>
  <c r="D9" i="132"/>
  <c r="F9" i="132"/>
  <c r="F187" i="132"/>
  <c r="C187" i="132"/>
  <c r="F7" i="132"/>
  <c r="F8" i="132"/>
  <c r="I135" i="132"/>
  <c r="I136" i="132"/>
  <c r="I137" i="132"/>
  <c r="I138" i="132"/>
  <c r="I139" i="132"/>
  <c r="I140" i="132"/>
  <c r="I141" i="132"/>
  <c r="I142" i="132"/>
  <c r="I143" i="132"/>
  <c r="I144" i="132"/>
  <c r="I145" i="132"/>
  <c r="I146" i="132"/>
  <c r="I147" i="132"/>
  <c r="I148" i="132"/>
  <c r="I149" i="132"/>
  <c r="I150" i="132"/>
  <c r="I151" i="132"/>
  <c r="I152" i="132"/>
  <c r="I153" i="132"/>
  <c r="D258" i="132"/>
  <c r="B258" i="132"/>
  <c r="D229" i="132"/>
  <c r="D230" i="132"/>
  <c r="D231" i="132"/>
  <c r="D232" i="132"/>
  <c r="D233" i="132"/>
  <c r="D234" i="132"/>
  <c r="D235" i="132"/>
  <c r="D236" i="132"/>
  <c r="D237" i="132"/>
  <c r="D238" i="132"/>
  <c r="D239" i="132"/>
  <c r="D240" i="132"/>
  <c r="D241" i="132"/>
  <c r="D242" i="132"/>
  <c r="D243" i="132"/>
  <c r="D244" i="132"/>
  <c r="D245" i="132"/>
  <c r="D246" i="132"/>
  <c r="B229" i="132"/>
  <c r="B230" i="132"/>
  <c r="B231" i="132"/>
  <c r="B232" i="132"/>
  <c r="B233" i="132"/>
  <c r="B234" i="132"/>
  <c r="B235" i="132"/>
  <c r="B236" i="132"/>
  <c r="B237" i="132"/>
  <c r="B238" i="132"/>
  <c r="B239" i="132"/>
  <c r="B240" i="132"/>
  <c r="B241" i="132"/>
  <c r="B242" i="132"/>
  <c r="B243" i="132"/>
  <c r="B244" i="132"/>
  <c r="B245" i="132"/>
  <c r="B246" i="132"/>
  <c r="G135" i="132"/>
  <c r="G136" i="132"/>
  <c r="G137" i="132"/>
  <c r="G138" i="132"/>
  <c r="G139" i="132"/>
  <c r="G140" i="132"/>
  <c r="G141" i="132"/>
  <c r="G142" i="132"/>
  <c r="G143" i="132"/>
  <c r="G144" i="132"/>
  <c r="G145" i="132"/>
  <c r="G146" i="132"/>
  <c r="G147" i="132"/>
  <c r="G148" i="132"/>
  <c r="G149" i="132"/>
  <c r="G150" i="132"/>
  <c r="G151" i="132"/>
  <c r="G152" i="132"/>
  <c r="G153" i="132"/>
  <c r="C135" i="132"/>
  <c r="C136" i="132"/>
  <c r="C137" i="132"/>
  <c r="C138" i="132"/>
  <c r="C139" i="132"/>
  <c r="C140" i="132"/>
  <c r="C141" i="132"/>
  <c r="C142" i="132"/>
  <c r="C143" i="132"/>
  <c r="C144" i="132"/>
  <c r="C145" i="132"/>
  <c r="C146" i="132"/>
  <c r="C147" i="132"/>
  <c r="C148" i="132"/>
  <c r="C149" i="132"/>
  <c r="C150" i="132"/>
  <c r="C151" i="132"/>
  <c r="C152" i="132"/>
  <c r="C153" i="132"/>
  <c r="D75" i="132"/>
  <c r="D76" i="132"/>
  <c r="D77" i="132"/>
  <c r="D78" i="132"/>
  <c r="D79" i="132"/>
  <c r="D80" i="132"/>
  <c r="D81" i="132"/>
  <c r="D82" i="132"/>
  <c r="D83" i="132"/>
  <c r="D84" i="132"/>
  <c r="D85" i="132"/>
  <c r="D86" i="132"/>
  <c r="D87" i="132"/>
  <c r="D88" i="132"/>
  <c r="D89" i="132"/>
  <c r="D90" i="132"/>
  <c r="D91" i="132"/>
  <c r="D92" i="132"/>
  <c r="D93" i="132"/>
  <c r="D94" i="132"/>
  <c r="D95" i="132"/>
  <c r="D96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2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3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4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5" xr16:uid="{9B5C1BE1-4EB3-4EFF-A604-F1B772E32053}" keepAlive="1" name="Query - allocation_summary" description="Connection to the 'allocation_summary' query in the workbook." type="5" refreshedVersion="8" background="1" saveData="1">
    <dbPr connection="Provider=Microsoft.Mashup.OleDb.1;Data Source=$Workbook$;Location=allocation_summary;Extended Properties=&quot;&quot;" command="SELECT * FROM [allocation_summary]"/>
  </connection>
  <connection id="6" xr16:uid="{17F76A69-2914-42EC-BB45-405DD236E292}" keepAlive="1" name="Query - balance_plan" description="Connection to the 'balance_plan' query in the workbook." type="5" refreshedVersion="8" background="1" saveData="1">
    <dbPr connection="Provider=Microsoft.Mashup.OleDb.1;Data Source=$Workbook$;Location=balance_plan;Extended Properties=&quot;&quot;" command="SELECT * FROM [balance_plan]"/>
  </connection>
  <connection id="7" xr16:uid="{D1ABF0DA-28CA-4449-BFBB-43061A40B165}" keepAlive="1" name="Query - clearing_result" description="Connection to the 'clearing_result' query in the workbook." type="5" refreshedVersion="8" background="1" saveData="1">
    <dbPr connection="Provider=Microsoft.Mashup.OleDb.1;Data Source=$Workbook$;Location=clearing_result;Extended Properties=&quot;&quot;" command="SELECT * FROM [clearing_result]"/>
  </connection>
  <connection id="8" xr16:uid="{743641DE-23A8-403E-93B0-DCB68AD65E9B}" keepAlive="1" name="Query - constraint_type" description="Connection to the 'constraint_type' query in the workbook." type="5" refreshedVersion="8" background="1" saveData="1">
    <dbPr connection="Provider=Microsoft.Mashup.OleDb.1;Data Source=$Workbook$;Location=constraint_type;Extended Properties=&quot;&quot;" command="SELECT * FROM [constraint_type]"/>
  </connection>
  <connection id="9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0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1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2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3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4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5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6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7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8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9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0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1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2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3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4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5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6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7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8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9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0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1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2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3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4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5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6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7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8" xr16:uid="{F5E3F548-E7C9-4E3C-969B-E2862E32AFFB}" keepAlive="1" name="Query - plan_health" description="Connection to the 'plan_health' query in the workbook." type="5" refreshedVersion="8" background="1" saveData="1">
    <dbPr connection="Provider=Microsoft.Mashup.OleDb.1;Data Source=$Workbook$;Location=plan_health;Extended Properties=&quot;&quot;" command="SELECT * FROM [plan_health]"/>
  </connection>
  <connection id="39" xr16:uid="{3CE5AB3D-F966-485A-BCD0-630450A67311}" keepAlive="1" name="Query - product_bom_consumption" description="Connection to the 'product_bom_consumption' query in the workbook." type="5" refreshedVersion="8" background="1" saveData="1">
    <dbPr connection="Provider=Microsoft.Mashup.OleDb.1;Data Source=$Workbook$;Location=product_bom_consumption;Extended Properties=&quot;&quot;" command="SELECT * FROM [product_bom_consumption]"/>
  </connection>
  <connection id="40" xr16:uid="{6A0C9975-3971-4EBD-990C-1A432440C8C5}" keepAlive="1" name="Query - product_bom_demand_detail" description="Connection to the 'product_bom_demand_detail' query in the workbook." type="5" refreshedVersion="8" background="1" saveData="1">
    <dbPr connection="Provider=Microsoft.Mashup.OleDb.1;Data Source=$Workbook$;Location=product_bom_demand_detail;Extended Properties=&quot;&quot;" command="SELECT * FROM [product_bom_demand_detail]"/>
  </connection>
  <connection id="41" xr16:uid="{1F71E528-2B7C-4B33-AC6E-B365D1DEC454}" keepAlive="1" name="Query - product_flow_classification" description="Connection to the 'product_flow_classification' query in the workbook." type="5" refreshedVersion="8" background="1" saveData="1">
    <dbPr connection="Provider=Microsoft.Mashup.OleDb.1;Data Source=$Workbook$;Location=product_flow_classification;Extended Properties=&quot;&quot;" command="SELECT * FROM [product_flow_classification]"/>
  </connection>
  <connection id="42" xr16:uid="{61CC7208-3EC8-422D-BBEF-0CFD9B9E1B48}" keepAlive="1" name="Query - product_role_classification" description="Connection to the 'product_role_classification' query in the workbook." type="5" refreshedVersion="8" background="1" saveData="1">
    <dbPr connection="Provider=Microsoft.Mashup.OleDb.1;Data Source=$Workbook$;Location=product_role_classification;Extended Properties=&quot;&quot;" command="SELECT * FROM [product_role_classification]"/>
  </connection>
  <connection id="43" xr16:uid="{D915FB28-A022-4735-8046-C08FFB9A9820}" keepAlive="1" name="Query - production_intent" description="Connection to the 'production_intent' query in the workbook." type="5" refreshedVersion="8" background="1" saveData="1">
    <dbPr connection="Provider=Microsoft.Mashup.OleDb.1;Data Source=$Workbook$;Location=production_intent;Extended Properties=&quot;&quot;" command="SELECT * FROM [production_intent]"/>
  </connection>
  <connection id="44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5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6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7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8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9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50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1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2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3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4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5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6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7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8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9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60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1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2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3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4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5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6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7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8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9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70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1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2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3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4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5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6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7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8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9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80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1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2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3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4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5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6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7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8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9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90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1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2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3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4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5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6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7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8" xr16:uid="{4140FE3A-F705-41E9-A55A-61388CAC62C0}" keepAlive="1" name="Query - retail_allocation_result" description="Connection to the 'retail_allocation_result' query in the workbook." type="5" refreshedVersion="8" background="1" saveData="1">
    <dbPr connection="Provider=Microsoft.Mashup.OleDb.1;Data Source=$Workbook$;Location=retail_allocation_result;Extended Properties=&quot;&quot;" command="SELECT * FROM [retail_allocation_result]"/>
  </connection>
  <connection id="99" xr16:uid="{68C6589E-EC15-4F99-A4B1-9AE4E3103690}" keepAlive="1" name="Query - retail_bottleneck_detail" description="Connection to the 'retail_bottleneck_detail' query in the workbook." type="5" refreshedVersion="8" background="1" saveData="1">
    <dbPr connection="Provider=Microsoft.Mashup.OleDb.1;Data Source=$Workbook$;Location=retail_bottleneck_detail;Extended Properties=&quot;&quot;" command="SELECT * FROM [retail_bottleneck_detail]"/>
  </connection>
  <connection id="100" xr16:uid="{48EA879E-5150-4A5D-9188-175DF56FCF97}" keepAlive="1" name="Query - retail_priority_path" description="Connection to the 'retail_priority_path' query in the workbook." type="5" refreshedVersion="8" background="1" saveData="1">
    <dbPr connection="Provider=Microsoft.Mashup.OleDb.1;Data Source=$Workbook$;Location=retail_priority_path;Extended Properties=&quot;&quot;" command="SELECT * FROM [retail_priority_path]"/>
  </connection>
  <connection id="101" xr16:uid="{60C9D8CD-68AB-4ECB-A6A8-4E4CC0368A5C}" keepAlive="1" name="Query - retail_unused_capacity" description="Connection to the 'retail_unused_capacity' query in the workbook." type="5" refreshedVersion="8" background="1" saveData="1">
    <dbPr connection="Provider=Microsoft.Mashup.OleDb.1;Data Source=$Workbook$;Location=retail_unused_capacity;Extended Properties=&quot;&quot;" command="SELECT * FROM [retail_unused_capacity]"/>
  </connection>
  <connection id="102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3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4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5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6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7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8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9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10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11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2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3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4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5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6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7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8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9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20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21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2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3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4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5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6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7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8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9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30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31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2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3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4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5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6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7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8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9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40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41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2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3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4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5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6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7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8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9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50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51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2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3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4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5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6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7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8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9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<sst xmlns="http://schemas.openxmlformats.org/spreadsheetml/2006/main" count="1183" uniqueCount="310">
  <si>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</si>
  <si>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</si>
  <si>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</si>
  <si>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</si>
  <si>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</si>
  <si>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</si>
  <si>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</si>
  <si>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</si>
  <si>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</si>
  <si>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</si>
  <si>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</si>
  <si>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</si>
  <si>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</si>
  <si>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</si>
  <si>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</si>
  <si>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</si>
  <si>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</si>
  <si>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</si>
  <si>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</si>
  <si>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</si>
  <si>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</si>
  <si>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</si>
  <si>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</si>
  <si>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</si>
  <si>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</si>
  <si>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</si>
  <si>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</si>
  <si>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</si>
  <si>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</si>
  <si>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</si>
  <si>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</si>
  <si>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</si>
  <si>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</si>
  <si>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</si>
  <si>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</si>
  <si>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</si>
  <si>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</si>
  <si>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Transport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</si>
  <si>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</si>
  <si>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</si>
  <si>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</si>
  <si>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</si>
  <si>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</si>
  <si>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</si>
  <si>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</si>
  <si>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</si>
  <si>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</si>
  <si>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</si>
  <si>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</si>
  <si>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</si>
  <si>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</si>
  <si>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</si>
  <si>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</si>
  <si>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</si>
  <si>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</si>
  <si>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</si>
  <si>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</si>
  <si>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</si>
  <si>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</si>
  <si>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</si>
  <si>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</si>
  <si>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</si>
  <si>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</si>
  <si>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</si>
  <si>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</si>
  <si>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</si>
  <si>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</si>
  <si>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</si>
  <si>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</si>
  <si>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</si>
  <si>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</si>
  <si>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</si>
  <si>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</si>
  <si>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</si>
  <si>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</si>
  <si>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</si>
  <si>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</si>
  <si>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</si>
  <si>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</si>
  <si>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</si>
  <si>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</si>
  <si>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</si>
  <si>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</si>
  <si>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</si>
  <si>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</si>
  <si>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</si>
  <si>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</si>
  <si>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</si>
  <si>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</si>
  <si>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</si>
  <si>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</si>
  <si>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</si>
  <si>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</si>
  <si>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</si>
  <si>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</si>
  <si>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</si>
  <si>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</si>
  <si>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</si>
  <si>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</si>
  <si>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</si>
  <si>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</si>
  <si>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</si>
  <si>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</si>
  <si>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</si>
  <si>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</si>
  <si>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</si>
  <si>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</si>
  <si>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</si>
  <si>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</si>
  <si>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</si>
  <si>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</si>
  <si>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</si>
  <si>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</si>
  <si>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</si>
  <si>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</si>
  <si>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</si>
  <si>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</si>
  <si>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</si>
  <si>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</si>
  <si>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</si>
  <si>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</si>
  <si>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</si>
  <si>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</si>
  <si>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</si>
  <si>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</si>
  <si>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</si>
  <si>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</si>
  <si>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</si>
  <si>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</si>
  <si>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</si>
  <si>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</si>
  <si>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</si>
  <si>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</si>
  <si>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</si>
  <si>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</si>
  <si>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</si>
  <si>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</si>
  <si>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</si>
  <si>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</si>
  <si>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</si>
  <si>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</si>
  <si>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</si>
  <si>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</si>
  <si>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</si>
  <si>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</si>
  <si>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</si>
  <si>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</si>
  <si>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</si>
  <si>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</si>
  <si>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</si>
  <si>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</si>
  <si>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</si>
  <si>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</si>
  <si>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</si>
  <si>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</si>
  <si>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</si>
  <si>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</si>
  <si>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</si>
  <si>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</si>
  <si>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</si>
  <si>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</si>
  <si>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</si>
  <si>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</si>
  <si>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</si>
  <si>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</si>
  <si>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</si>
  <si>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</si>
  <si>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</si>
  <si>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</si>
  <si>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</si>
  <si>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</si>
  <si>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</si>
  <si>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</si>
  <si>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</si>
  <si>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</si>
  <si>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</si>
  <si>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</si>
  <si>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</si>
  <si>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</si>
  <si>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</si>
  <si>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</si>
  <si>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</si>
  <si>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</si>
  <si>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</si>
  <si>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</si>
  <si>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</si>
  <si>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</si>
  <si>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</si>
  <si>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</si>
  <si>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</si>
  <si>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</si>
  <si>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</si>
  <si>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</si>
  <si>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</si>
  <si>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</si>
  <si>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</si>
  <si>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</si>
  <si>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</si>
  <si>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</si>
  <si>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</si>
  <si>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</si>
  <si>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</si>
  <si>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</si>
  <si>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</si>
  <si>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</si>
  <si>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</si>
  <si>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</si>
  <si>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</si>
  <si>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</si>
  <si>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</si>
  <si>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</si>
  <si>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</si>
  <si>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</si>
  <si>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</si>
  <si>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</si>
  <si>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</si>
  <si>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</si>
  <si>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</si>
  <si>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</si>
  <si>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</si>
  <si>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</si>
  <si>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</si>
  <si>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</si>
  <si>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</si>
  <si>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</si>
  <si>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</si>
  <si>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</si>
  <si>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</si>
  <si>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</si>
  <si>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</si>
  <si>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</si>
  <si>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</si>
  <si>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</si>
  <si>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</si>
  <si>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</si>
  <si>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</si>
  <si>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</si>
  <si>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</si>
  <si>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</si>
  <si>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</si>
  <si>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</si>
  <si>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</si>
  <si>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</si>
  <si>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</si>
  <si>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</si>
  <si>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</si>
  <si>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</si>
  <si>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</si>
  <si>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</si>
  <si>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</si>
  <si>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</si>
  <si>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</si>
  <si>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</si>
  <si>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</si>
  <si>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</si>
  <si>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</si>
  <si>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</si>
  <si>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</si>
  <si>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</si>
  <si>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</si>
  <si>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</si>
  <si>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</si>
  <si>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</si>
  <si>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</si>
  <si>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</si>
  <si>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</si>
  <si>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</si>
  <si>
    <t>economic_phase_key</t>
  </si>
  <si>
    <t>economic_phase_name</t>
  </si>
  <si>
    <t>Normal</t>
  </si>
  <si>
    <t>Recession</t>
  </si>
  <si>
    <t>Boom</t>
  </si>
  <si>
    <t>Retail Plan</t>
  </si>
  <si>
    <t>capacity_units_per_hour</t>
  </si>
  <si>
    <t>capacity_used_pct</t>
  </si>
  <si>
    <t>retail_shortfall_units_per_hour</t>
  </si>
  <si>
    <t>retail_capture_pct</t>
  </si>
  <si>
    <t>retail_capture_pct_display</t>
  </si>
  <si>
    <t>flow_type</t>
  </si>
  <si>
    <t>surplus</t>
  </si>
  <si>
    <t>shortage</t>
  </si>
  <si>
    <t>company_display</t>
  </si>
  <si>
    <t>retail_shortfall_display</t>
  </si>
  <si>
    <t>product_role</t>
  </si>
  <si>
    <t>pure_non_retail_output</t>
  </si>
  <si>
    <t>vi_input</t>
  </si>
  <si>
    <t>retail_output</t>
  </si>
  <si>
    <t>unused_units_per_hour</t>
  </si>
  <si>
    <t>constraint_type</t>
  </si>
  <si>
    <t>not_constrained</t>
  </si>
  <si>
    <t>supply_constrained</t>
  </si>
  <si>
    <t>retail_constrained</t>
  </si>
  <si>
    <t>retail_pct</t>
  </si>
  <si>
    <t>non_retail_pct</t>
  </si>
  <si>
    <t>net_units_per_day</t>
  </si>
  <si>
    <t>retail_units_per_day</t>
  </si>
  <si>
    <t>retail_shortfall_per_day</t>
  </si>
  <si>
    <t>required_action</t>
  </si>
  <si>
    <t>action_target</t>
  </si>
  <si>
    <t>required_change_per_day</t>
  </si>
  <si>
    <t>required_change_pct</t>
  </si>
  <si>
    <t>required_bl_change</t>
  </si>
  <si>
    <t>bl_type</t>
  </si>
  <si>
    <t>Add retail capacity</t>
  </si>
  <si>
    <t>Increase supply</t>
  </si>
  <si>
    <t>Start production (Quarry)</t>
  </si>
  <si>
    <t>Generated: 2026-06-17 23:31:12 UTC</t>
  </si>
  <si>
    <t>Quantum Spin Ltd | Entrepreneurs | 6/17/2026 6:20:37 PM</t>
  </si>
  <si>
    <t>Quantum Spin Ltd | Magnates | 6/17/2026 6:20:37 PM</t>
  </si>
  <si>
    <t>abundance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</si>
</sst>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  <xf numFmtId="10" fontId="0" fillId="0" borderId="0" xfId="0" applyNumberFormat="1"/>
    <xf numFmtId="3" fontId="0" fillId="0" borderId="0" xfId="0" applyNumberFormat="1"/>
    <xf numFmtId="4" fontId="0" fillId="0" borderId="0" xfId="0" applyNumberFormat="1"/>
    <xf numFmtId="0" fontId="3" fillId="0" borderId="0" xfId="0" applyNumberFormat="1" applyFont="1"/>
  </cellXfs>
  <cellStyles count="1">
    <cellStyle name="Normal" xfId="0" builtinId="0"/>
  </cellStyles>
  <dxfs count="87"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86"/>
      <tableStyleElement type="headerRow" dxfId="85"/>
    </tableStyle>
    <tableStyle name="Output Table" pivot="0" count="2" xr9:uid="{2E3CF32D-1805-447A-A85C-8F12D0D17A75}">
      <tableStyleElement type="wholeTable" dxfId="84"/>
      <tableStyleElement type="headerRow" dxfId="83"/>
    </tableStyle>
    <tableStyle name="Ref Table" pivot="0" count="2" xr9:uid="{A770A715-E574-4C04-A545-B413EE13707B}">
      <tableStyleElement type="wholeTable" dxfId="82"/>
      <tableStyleElement type="headerRow" dxfId="81"/>
    </tableStyle>
    <tableStyle name="Reference Material" pivot="0" count="2" xr9:uid="{4A411DC6-D102-4668-BF54-FAE72CB502D1}">
      <tableStyleElement type="wholeTable" dxfId="80"/>
      <tableStyleElement type="headerRow" dxfId="79"/>
    </tableStyle>
    <tableStyle name="Sys Tables" pivot="0" count="2" xr9:uid="{096D3C65-410C-4E50-A003-D708D0B3FEC5}">
      <tableStyleElement type="wholeTable" dxfId="78"/>
      <tableStyleElement type="headerRow" dxfId="77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22/11/relationships/FeaturePropertyBag" Target="featurePropertyBag/featurePropertyBag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8" xr16:uid="{AE688B30-43FE-4014-B45E-05DF0A3D4279}" autoFormatId="16" applyNumberFormats="0" applyBorderFormats="0" applyFontFormats="0" applyPatternFormats="0" applyAlignmentFormats="0" applyWidthHeightFormats="0">
  <queryTableRefresh nextId="19">
    <queryTableFields count="18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oduct_role" tableColumnId="6"/>
      <queryTableField id="7" name="constraint_type" tableColumnId="7"/>
      <queryTableField id="8" name="flow_type" tableColumnId="8"/>
      <queryTableField id="9" name="net_units_per_day" tableColumnId="9"/>
      <queryTableField id="10" name="retail_units_per_day" tableColumnId="10"/>
      <queryTableField id="11" name="retail_shortfall_per_day" tableColumnId="11"/>
      <queryTableField id="12" name="retail_capture_pct" tableColumnId="12"/>
      <queryTableField id="13" name="required_action" tableColumnId="13"/>
      <queryTableField id="14" name="action_target" tableColumnId="14"/>
      <queryTableField id="15" name="required_change_per_day" tableColumnId="15"/>
      <queryTableField id="16" name="required_change_pct" tableColumnId="16"/>
      <queryTableField id="17" name="required_bl_change" tableColumnId="17"/>
      <queryTableField id="18" name="bl_type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8D1DCB00-D205-48C4-B11E-6EC2726A3295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constraint_typ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01" xr16:uid="{BD7055A2-FCC8-4877-B75B-CA0AE9A84BB5}" autoFormatId="16" applyNumberFormats="0" applyBorderFormats="0" applyFontFormats="0" applyPatternFormats="0" applyAlignmentFormats="0" applyWidthHeightFormats="0">
  <queryTableRefresh nextId="11">
    <queryTableFields count="10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building_key" tableColumnId="6"/>
      <queryTableField id="7" name="building_name" tableColumnId="7"/>
      <queryTableField id="8" name="priority" tableColumnId="8"/>
      <queryTableField id="9" name="unused_units_per_hour" tableColumnId="9"/>
      <queryTableField id="10" name="capacity_units_per_hour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2" xr16:uid="{086DF7A6-9543-413A-A05C-5BCA1232467A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product_rol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1" xr16:uid="{56C1D407-FCBC-4B66-9324-D8C520424A4A}" autoFormatId="16" applyNumberFormats="0" applyBorderFormats="0" applyFontFormats="0" applyPatternFormats="0" applyAlignmentFormats="0" applyWidthHeightFormats="0">
  <queryTableRefresh nextId="11">
    <queryTableFields count="7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9" name="building_key" tableColumnId="7"/>
      <queryTableField id="4" name="flow_typ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E83F68A-C9E0-45BE-AF3F-2DF08699B3C4}" autoFormatId="16" applyNumberFormats="0" applyBorderFormats="0" applyFontFormats="0" applyPatternFormats="0" applyAlignmentFormats="0" applyWidthHeightFormats="0">
  <queryTableRefresh nextId="34">
    <queryTableFields count="15">
      <queryTableField id="1" name="company_key" tableColumnId="1"/>
      <queryTableField id="26" name="company_display" tableColumnId="11"/>
      <queryTableField id="4" name="product_key" tableColumnId="4"/>
      <queryTableField id="8" name="product_name" tableColumnId="8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14" name="retail_shortfall_units_per_hour" tableColumnId="9"/>
      <queryTableField id="27" name="retail_shortfall_display" tableColumnId="13"/>
      <queryTableField id="15" name="retail_capture_pct" tableColumnId="10"/>
      <queryTableField id="17" name="retail_capture_pct_display" tableColumnId="12"/>
      <queryTableField id="2" name="is_retail_capped" tableColumnId="2"/>
      <queryTableField id="32" name="retail_pct" tableColumnId="14"/>
      <queryTableField id="33" name="non_retail_pct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9" xr16:uid="{3623B5ED-5B18-4344-8DA1-30BB05E8CF00}" autoFormatId="16" applyNumberFormats="0" applyBorderFormats="0" applyFontFormats="0" applyPatternFormats="0" applyAlignmentFormats="0" applyWidthHeightFormats="0">
  <queryTableRefresh nextId="14">
    <queryTableFields count="10">
      <queryTableField id="1" name="company_key" tableColumnId="1"/>
      <queryTableField id="10" name="company_display" tableColumnId="10"/>
      <queryTableField id="2" name="product_key" tableColumnId="2"/>
      <queryTableField id="8" name="product_name" tableColumnId="8"/>
      <queryTableField id="3" name="quality_level" tableColumnId="3"/>
      <queryTableField id="4" name="building_key" tableColumnId="4"/>
      <queryTableField id="9" name="building_name" tableColumnId="9"/>
      <queryTableField id="5" name="allocated_units_per_hour" tableColumnId="5"/>
      <queryTableField id="6" name="capacity_units_per_hour" tableColumnId="6"/>
      <queryTableField id="7" name="capacity_used_pct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8" xr16:uid="{DAC5BF1F-DB15-43C9-95AF-F03EC451420F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product_key" tableColumnId="2"/>
      <queryTableField id="7" name="product_name" tableColumnId="7"/>
      <queryTableField id="3" name="quality_level" tableColumnId="3"/>
      <queryTableField id="4" name="building_key" tableColumnId="4"/>
      <queryTableField id="8" name="building_name" tableColumnId="8"/>
      <queryTableField id="5" name="priority" tableColumnId="5"/>
      <queryTableField id="6" name="allocated_units_per_hour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AB521252-C7E8-49AA-BB17-291224C74183}" autoFormatId="16" applyNumberFormats="0" applyBorderFormats="0" applyFontFormats="0" applyPatternFormats="0" applyAlignmentFormats="0" applyWidthHeightFormats="0">
  <queryTableRefresh nextId="21">
    <queryTableFields count="10">
      <queryTableField id="3" name="company_key" tableColumnId="3"/>
      <queryTableField id="16" name="company_display" tableColumnId="10"/>
      <queryTableField id="6" name="product_key" tableColumnId="6"/>
      <queryTableField id="8" name="product_name" tableColumnId="8"/>
      <queryTableField id="7" name="quality_level" tableColumnId="7"/>
      <queryTableField id="2" name="channel_key" tableColumnId="2"/>
      <queryTableField id="9" name="channel_name" tableColumnId="9"/>
      <queryTableField id="5" name="priority" tableColumnId="5"/>
      <queryTableField id="4" name="direction" tableColumnId="4"/>
      <queryTableField id="1" name="allocated_units_per_hour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33D9CACD-81B5-448E-AA16-60EA845163F7}" autoFormatId="16" applyNumberFormats="0" applyBorderFormats="0" applyFontFormats="0" applyPatternFormats="0" applyAlignmentFormats="0" applyWidthHeightFormats="0">
  <queryTableRefresh nextId="17">
    <queryTableFields count="11">
      <queryTableField id="1" name="company_key" tableColumnId="1"/>
      <queryTableField id="12" name="company_display" tableColumnId="10"/>
      <queryTableField id="3" name="product_key" tableColumnId="3"/>
      <queryTableField id="9" name="product_name" tableColumnId="9"/>
      <queryTableField id="4" name="quality_level" tableColumnId="4"/>
      <queryTableField id="15" name="building_key" tableColumnId="11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3" xr16:uid="{05CB9B9A-B69C-4A3A-94B8-DF7652AA6ABB}" autoFormatId="16" applyNumberFormats="0" applyBorderFormats="0" applyFontFormats="0" applyPatternFormats="0" applyAlignmentFormats="0" applyWidthHeightFormats="0">
  <queryTableRefresh nextId="9">
    <queryTableFields count="7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7" name="building_key" tableColumnId="7"/>
      <queryTableField id="6" name="units_produced_per_hour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0" xr16:uid="{C7369EC9-DD47-4443-B709-CD006B50E067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iority" tableColumnId="6"/>
      <queryTableField id="7" name="building_key" tableColumnId="7"/>
      <queryTableField id="8" name="building_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9" xr16:uid="{DD315A0D-4543-4F2A-8C5D-1F14C53C8B73}" autoFormatId="16" applyNumberFormats="0" applyBorderFormats="0" applyFontFormats="0" applyPatternFormats="0" applyAlignmentFormats="0" applyWidthHeightFormats="0">
  <queryTableRefresh nextId="11">
    <queryTableFields count="7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9" name="building_key" tableColumnId="7"/>
      <queryTableField id="4" name="units_consumed_per_hour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665CD350-6305-4CBD-B081-EC1E96436122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source_product_key" tableColumnId="2"/>
      <queryTableField id="7" name="source_product_name" tableColumnId="7"/>
      <queryTableField id="3" name="source_quality_level" tableColumnId="3"/>
      <queryTableField id="4" name="demanded_product_key" tableColumnId="4"/>
      <queryTableField id="8" name="demanded_product_name" tableColumnId="8"/>
      <queryTableField id="5" name="demanded_quality_level" tableColumnId="5"/>
      <queryTableField id="6" name="units_consumed_per_hour" tableColumnId="6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08794-8381-46D9-8FDD-40DA085F93F6}" name="ref_economic_phase" displayName="ref_economic_phase" ref="A1:B4" totalsRowShown="0">
  <autoFilter ref="A1:B4" xr:uid="{6E808794-8381-46D9-8FDD-40DA085F93F6}"/>
  <tableColumns count="2">
    <tableColumn id="1" xr3:uid="{1E0B3EC2-E0CC-4E12-AC1C-F4259D740EEE}" name="economic_phase_key"/>
    <tableColumn id="2" xr3:uid="{F320C0AE-C6BE-412A-8061-2DFC451DFB12}" name="economic_phas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L10" totalsRowShown="0">
  <autoFilter ref="A6:L10" xr:uid="{D554E1B6-6669-4D88-AD8A-F964A8DB6010}"/>
  <tableColumns count="12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68">
      <calculatedColumnFormula>_xlfn.XLOOKUP(tblCompany[[#This Row],[realm_name]],ref_realm[realm_name],ref_realm[realm_key])</calculatedColumnFormula>
    </tableColumn>
    <tableColumn id="11" xr3:uid="{1E7C4B8C-0A77-4DB9-85C1-D4ABCC8B0484}" name="economic_phase_name" dataDxfId="67"/>
    <tableColumn id="12" xr3:uid="{E9009A07-ADD8-4026-8D8E-837BC33C59D6}" name="economic_phase_key" dataDxfId="66">
      <calculatedColumnFormula>_xlfn.XLOOKUP(tblCompany[[#This Row],[economic_phase_name]],ref_economic_phase[economic_phase_name],ref_economic_phase[economic_phase_key])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65"/>
    <tableColumn id="8" xr3:uid="{13346E22-A822-4DDB-AC42-5BDDA0D7C140}" name="sales_speed_delta" dataDxfId="64"/>
    <tableColumn id="9" xr3:uid="{DC6CD4C4-F52F-4006-8272-45075FEB3A09}" name="enabled" dataDxfId="63"/>
    <tableColumn id="10" xr3:uid="{4496101C-D894-4EAF-8768-F01E1DF4844F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66" totalsRowShown="0">
  <autoFilter ref="A20:H66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62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61"/>
    <tableColumn id="6" xr3:uid="{5AD26A78-376B-45F9-AD3F-E0EA1CFDD1E0}" name="enabled" dataDxfId="60"/>
    <tableColumn id="7" xr3:uid="{9C5A7860-863B-4A0E-A46F-A46214FBF667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74:I119" totalsRowShown="0">
  <autoFilter ref="A74:I119" xr:uid="{DF133873-A3C9-4208-BDA4-00D51B2317B0}"/>
  <tableColumns count="9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59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9" xr3:uid="{B98F2893-EC93-4CAE-8B05-97B5C3748120}" name="abundance"/>
    <tableColumn id="5" xr3:uid="{A943DBD7-9BB3-4BE7-A741-FFDE9E356570}" name="production_split_frac" dataDxfId="58"/>
    <tableColumn id="6" xr3:uid="{D362487B-B768-4C2A-A7E9-5E4BB89B6DB8}" name="enabled" dataDxfId="57"/>
    <tableColumn id="7" xr3:uid="{120B3FE1-4495-4295-A6E0-2E023EB8A6BF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228:F247" totalsRowShown="0">
  <autoFilter ref="A228:F247" xr:uid="{FD8913A6-1E1A-4720-8BE1-9256E8324D11}"/>
  <tableColumns count="6">
    <tableColumn id="1" xr3:uid="{34A87837-0BD4-413C-ABA8-5306503ACA49}" name="realm_name"/>
    <tableColumn id="5" xr3:uid="{BFA41D7A-BFCA-4131-BBF9-189B65F88551}" name="realm_key" dataDxfId="56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55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54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257:F258" totalsRowShown="0">
  <autoFilter ref="A257:F258" xr:uid="{9D1E29ED-1988-474E-ADBB-ECB5A535AB43}"/>
  <tableColumns count="6">
    <tableColumn id="1" xr3:uid="{D085DD94-7041-4A41-93ED-F75AA948868A}" name="realm_name"/>
    <tableColumn id="5" xr3:uid="{C4C3812F-4027-4A7B-958D-BB52077CD290}" name="realm_key" dataDxfId="53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52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51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134:J172" totalsRowShown="0">
  <autoFilter ref="A134:J172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50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49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48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997776-443A-41B4-A19A-B6C6DBFFB94E}" name="tblRetailPlan" displayName="tblRetailPlan" ref="A186:G188" totalsRowShown="0">
  <autoFilter ref="A186:G188" xr:uid="{E8997776-443A-41B4-A19A-B6C6DBFFB94E}"/>
  <tableColumns count="7">
    <tableColumn id="1" xr3:uid="{6032259B-3CDF-4095-B1D2-66FF10D1EADD}" name="company_key"/>
    <tableColumn id="2" xr3:uid="{503BA8B5-AAF4-42B3-A439-D7B90BD4D855}" name="product_name"/>
    <tableColumn id="3" xr3:uid="{EDDA53A0-F055-4BAE-A467-020E9175405C}" name="product_key" dataDxfId="47">
      <calculatedColumnFormula>_xlfn.XLOOKUP(tblRetailPlan[[#This Row],[product_name]],ref_product[product_name],ref_product[product_key])</calculatedColumnFormula>
    </tableColumn>
    <tableColumn id="4" xr3:uid="{8945871A-CA35-42FC-B180-1E9452EABCC9}" name="quality_level"/>
    <tableColumn id="5" xr3:uid="{26FA12F8-0BA8-4C98-AF96-68C2318A0A7F}" name="building_name"/>
    <tableColumn id="6" xr3:uid="{7C6319B2-A8FE-42EF-AC8D-1BD0D29CC3CD}" name="building_key" dataDxfId="46">
      <calculatedColumnFormula>_xlfn.XLOOKUP(tblRetailPlan[[#This Row],[building_name]],ref_building[building_name],ref_building[building_key])</calculatedColumnFormula>
    </tableColumn>
    <tableColumn id="7" xr3:uid="{98B8D119-0130-4826-AECA-FC7921E8B678}" name="priority"/>
  </tableColumns>
  <tableStyleInfo name="In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753F4EA-DFB6-46F5-8936-A8B76103FF23}" name="plan_health" displayName="plan_health" ref="A1:R8" tableType="queryTable" totalsRowShown="0">
  <autoFilter ref="A1:R8" xr:uid="{8753F4EA-DFB6-46F5-8936-A8B76103FF23}"/>
  <sortState xmlns:xlrd2="http://schemas.microsoft.com/office/spreadsheetml/2017/richdata2" ref="A2:R8">
    <sortCondition ref="A1:A8"/>
  </sortState>
  <tableColumns count="18">
    <tableColumn id="1" xr3:uid="{09B4035D-DCDA-4841-B60C-180B0C2CBB48}" uniqueName="1" name="company_key" queryTableFieldId="1"/>
    <tableColumn id="2" xr3:uid="{DD7CDD52-1D07-4AFF-BD29-C1981E6C8854}" uniqueName="2" name="company_display" queryTableFieldId="2" dataDxfId="76"/>
    <tableColumn id="3" xr3:uid="{2695DCB9-6224-4A38-B61C-A5A8E88E09AC}" uniqueName="3" name="product_key" queryTableFieldId="3"/>
    <tableColumn id="4" xr3:uid="{FA973FE2-B218-4750-AE6A-9E20E1192011}" uniqueName="4" name="product_name" queryTableFieldId="4" dataDxfId="75"/>
    <tableColumn id="5" xr3:uid="{DFBA9E30-B3C0-4406-BC78-35C383CCB663}" uniqueName="5" name="quality_level" queryTableFieldId="5"/>
    <tableColumn id="6" xr3:uid="{C9FABA71-2E40-4AE7-87F7-6EDAF04EEFDF}" uniqueName="6" name="product_role" queryTableFieldId="6" dataDxfId="74"/>
    <tableColumn id="7" xr3:uid="{3643BF6D-8A2D-42BA-A6AE-22002230916D}" uniqueName="7" name="constraint_type" queryTableFieldId="7" dataDxfId="73"/>
    <tableColumn id="8" xr3:uid="{09309509-39AC-4B95-9391-404F7F440B63}" uniqueName="8" name="flow_type" queryTableFieldId="8" dataDxfId="72"/>
    <tableColumn id="9" xr3:uid="{9BA54CB3-5E7E-4633-8A97-1E3FF598C32F}" uniqueName="9" name="net_units_per_day" queryTableFieldId="9" dataDxfId="9"/>
    <tableColumn id="10" xr3:uid="{642719FD-4AF6-40DA-B151-684301E1F4CE}" uniqueName="10" name="retail_units_per_day" queryTableFieldId="10" dataDxfId="8"/>
    <tableColumn id="11" xr3:uid="{950B6215-FCC6-4D31-86F7-F4813AA99FFC}" uniqueName="11" name="retail_shortfall_per_day" queryTableFieldId="11" dataDxfId="7"/>
    <tableColumn id="12" xr3:uid="{BBB1CBF0-9568-4730-9A1B-DFAB86F8597E}" uniqueName="12" name="retail_capture_pct" queryTableFieldId="12" dataDxfId="6"/>
    <tableColumn id="13" xr3:uid="{8391124F-E73E-4182-A9E1-C51078CAD137}" uniqueName="13" name="required_action" queryTableFieldId="13" dataDxfId="71"/>
    <tableColumn id="14" xr3:uid="{EDA28EB9-BC58-49E6-B31D-299E550DF9D7}" uniqueName="14" name="action_target" queryTableFieldId="14" dataDxfId="70"/>
    <tableColumn id="15" xr3:uid="{CB302E5F-3CC6-4C96-897A-23980C83D791}" uniqueName="15" name="required_change_per_day" queryTableFieldId="15" dataDxfId="5"/>
    <tableColumn id="16" xr3:uid="{ABBC4659-9AA5-4F7A-AC2B-5693BC96FFE9}" uniqueName="16" name="required_change_pct" queryTableFieldId="16" dataDxfId="4"/>
    <tableColumn id="17" xr3:uid="{9A9FA5B5-71A0-4693-A62B-F2AC029E3A7F}" uniqueName="17" name="required_bl_change" queryTableFieldId="17" dataDxfId="3"/>
    <tableColumn id="18" xr3:uid="{45B49C8B-8237-4ADC-906B-77B8FD827F95}" uniqueName="18" name="bl_type" queryTableFieldId="18" dataDxfId="69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F7A300A-7541-4159-991F-45D5DAF8EBA0}" name="constraint_type" displayName="constraint_type" ref="A1:G18" tableType="queryTable" totalsRowShown="0">
  <autoFilter ref="A1:G18" xr:uid="{CF7A300A-7541-4159-991F-45D5DAF8EBA0}"/>
  <sortState xmlns:xlrd2="http://schemas.microsoft.com/office/spreadsheetml/2017/richdata2" ref="A2:G18">
    <sortCondition ref="A1:A18"/>
  </sortState>
  <tableColumns count="7">
    <tableColumn id="1" xr3:uid="{B705D3B1-E37D-46C5-87D2-935DD068AD1F}" uniqueName="1" name="company_key" queryTableFieldId="1"/>
    <tableColumn id="2" xr3:uid="{37623651-25BA-4619-AE9F-CC38EDE08C03}" uniqueName="2" name="company_display" queryTableFieldId="2" dataDxfId="45"/>
    <tableColumn id="3" xr3:uid="{97E9A76A-0A2C-4CDB-8035-EB8FE2CA79E1}" uniqueName="3" name="product_key" queryTableFieldId="3"/>
    <tableColumn id="4" xr3:uid="{71447BBC-2760-4D43-8A93-A2058A544F7E}" uniqueName="4" name="product_name" queryTableFieldId="4" dataDxfId="44"/>
    <tableColumn id="5" xr3:uid="{C468E466-9C45-4CA3-9BEF-1647F1A012BE}" uniqueName="5" name="quality_level" queryTableFieldId="5"/>
    <tableColumn id="7" xr3:uid="{202A2CFC-849D-4468-ACE4-545CA7E617F8}" uniqueName="7" name="building_key" queryTableFieldId="7"/>
    <tableColumn id="6" xr3:uid="{84664A8A-D0CE-423A-AAC0-F84DC5BEE813}" uniqueName="6" name="constraint_type" queryTableFieldId="6" dataDxfId="43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4A1E47-25B1-4DAE-B568-378983B578B5}" name="retail_unused_capacity" displayName="retail_unused_capacity" ref="A1:J2" tableType="queryTable" totalsRowShown="0">
  <autoFilter ref="A1:J2" xr:uid="{3C4A1E47-25B1-4DAE-B568-378983B578B5}"/>
  <tableColumns count="10">
    <tableColumn id="1" xr3:uid="{827D3BE4-856E-4279-B0D2-E12E254F33DD}" uniqueName="1" name="company_key" queryTableFieldId="1"/>
    <tableColumn id="2" xr3:uid="{E1923AA2-1D2B-4678-890E-1241AEA4CF19}" uniqueName="2" name="company_display" queryTableFieldId="2" dataDxfId="42"/>
    <tableColumn id="3" xr3:uid="{B46018B7-CD9A-4B6F-8EC8-F729226AACE5}" uniqueName="3" name="product_key" queryTableFieldId="3"/>
    <tableColumn id="4" xr3:uid="{E5311092-A549-417F-83F5-628EE7361211}" uniqueName="4" name="product_name" queryTableFieldId="4" dataDxfId="41"/>
    <tableColumn id="5" xr3:uid="{E63652A8-16B3-4FBA-B74A-6EF43AD91DA2}" uniqueName="5" name="quality_level" queryTableFieldId="5"/>
    <tableColumn id="6" xr3:uid="{B7570052-A2FD-4BD6-B40E-F4EFF68F933A}" uniqueName="6" name="building_key" queryTableFieldId="6"/>
    <tableColumn id="7" xr3:uid="{FBCD0762-6D7A-4FEE-9C4A-4D935D2DB606}" uniqueName="7" name="building_name" queryTableFieldId="7" dataDxfId="40"/>
    <tableColumn id="8" xr3:uid="{4B670EFD-675A-4E4F-B69F-EC2D1CF05FED}" uniqueName="8" name="priority" queryTableFieldId="8"/>
    <tableColumn id="9" xr3:uid="{56C8CE45-EFB5-464F-BF53-B1FB5CB13567}" uniqueName="9" name="unused_units_per_hour" queryTableFieldId="9"/>
    <tableColumn id="10" xr3:uid="{522958E8-4F61-48A6-8DC7-2A40DAC2ED84}" uniqueName="10" name="capacity_units_per_hour" queryTableFieldId="10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0D1F59D-1F49-4F81-B36C-99B73B98A471}" name="product_role_classification" displayName="product_role_classification" ref="A1:G18" tableType="queryTable" totalsRowShown="0">
  <autoFilter ref="A1:G18" xr:uid="{70D1F59D-1F49-4F81-B36C-99B73B98A471}"/>
  <sortState xmlns:xlrd2="http://schemas.microsoft.com/office/spreadsheetml/2017/richdata2" ref="A2:G18">
    <sortCondition ref="A1:A18"/>
  </sortState>
  <tableColumns count="7">
    <tableColumn id="1" xr3:uid="{2E3F556E-9CF2-4753-B1C6-9985A5728E35}" uniqueName="1" name="company_key" queryTableFieldId="1"/>
    <tableColumn id="2" xr3:uid="{81A6825B-105B-4095-9A9D-6219B6793AEF}" uniqueName="2" name="company_display" queryTableFieldId="2" dataDxfId="39"/>
    <tableColumn id="3" xr3:uid="{6BCF28DC-FE5A-4BB4-A131-DA31B76173BC}" uniqueName="3" name="product_key" queryTableFieldId="3"/>
    <tableColumn id="4" xr3:uid="{0DD8545D-CB70-4DCE-8888-C0BA1D9BEEC2}" uniqueName="4" name="product_name" queryTableFieldId="4" dataDxfId="38"/>
    <tableColumn id="5" xr3:uid="{F5556B56-E81F-4EFE-B73D-FA227C2C8D33}" uniqueName="5" name="quality_level" queryTableFieldId="5"/>
    <tableColumn id="7" xr3:uid="{2C95DE70-173F-4776-BA30-F3487693BACC}" uniqueName="7" name="building_key" queryTableFieldId="7"/>
    <tableColumn id="6" xr3:uid="{28E4BB78-5683-4F98-9BBF-839C44D59F91}" uniqueName="6" name="product_role" queryTableFieldId="6" dataDxfId="37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ED9AF58-FB91-43AC-AEC1-D17BE827184E}" name="product_flow_classification" displayName="product_flow_classification" ref="A1:G18" tableType="queryTable" totalsRowShown="0">
  <autoFilter ref="A1:G18" xr:uid="{6ED9AF58-FB91-43AC-AEC1-D17BE827184E}"/>
  <sortState xmlns:xlrd2="http://schemas.microsoft.com/office/spreadsheetml/2017/richdata2" ref="A2:G18">
    <sortCondition ref="A1:A18"/>
  </sortState>
  <tableColumns count="7">
    <tableColumn id="1" xr3:uid="{7F98BF4C-F79F-4A5E-8AD6-58DA44F53291}" uniqueName="1" name="company_key" queryTableFieldId="1"/>
    <tableColumn id="6" xr3:uid="{FC0534D1-C4A6-4C52-9B0F-200F7D40F16B}" uniqueName="6" name="company_display" queryTableFieldId="6" dataDxfId="36"/>
    <tableColumn id="2" xr3:uid="{6E1B3623-6AC1-450F-995F-9C2888D2B399}" uniqueName="2" name="product_key" queryTableFieldId="2"/>
    <tableColumn id="5" xr3:uid="{9E213D6B-7DC8-4F19-804E-164EC8796B18}" uniqueName="5" name="product_name" queryTableFieldId="5" dataDxfId="35"/>
    <tableColumn id="3" xr3:uid="{C65703A0-454F-45CB-9904-E21B688BA709}" uniqueName="3" name="quality_level" queryTableFieldId="3"/>
    <tableColumn id="7" xr3:uid="{3F398A20-727C-46C8-A0EA-4F6FFA3A890E}" uniqueName="7" name="building_key" queryTableFieldId="9"/>
    <tableColumn id="4" xr3:uid="{323D7A08-D062-4464-A8FE-D4A12D11213D}" uniqueName="4" name="flow_type" queryTableFieldId="4" dataDxfId="34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allocation_summary" displayName="allocation_summary" ref="A1:O18" tableType="queryTable" totalsRowShown="0">
  <autoFilter ref="A1:O18" xr:uid="{4E17DF3E-5287-440B-A27E-FDA3DFDDFF33}"/>
  <sortState xmlns:xlrd2="http://schemas.microsoft.com/office/spreadsheetml/2017/richdata2" ref="A2:O18">
    <sortCondition ref="A1:A18"/>
  </sortState>
  <tableColumns count="15">
    <tableColumn id="1" xr3:uid="{1102F6B8-9954-4D5C-AD18-3BFED75176A4}" uniqueName="1" name="company_key" queryTableFieldId="1"/>
    <tableColumn id="11" xr3:uid="{4665EEA7-4CA3-4B77-A23A-55843360B11F}" uniqueName="11" name="company_display" queryTableFieldId="26" dataDxfId="33"/>
    <tableColumn id="4" xr3:uid="{AAF48A8B-4F4E-47D1-A916-4BB4135B0C7F}" uniqueName="4" name="product_key" queryTableFieldId="4"/>
    <tableColumn id="8" xr3:uid="{1E76A64A-A899-4066-AFDE-8A625545F62B}" uniqueName="8" name="product_name" queryTableFieldId="8" dataDxfId="32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9" xr3:uid="{87BFF510-2A0D-452B-9D58-6E7ADCE79CE8}" uniqueName="9" name="retail_shortfall_units_per_hour" queryTableFieldId="14"/>
    <tableColumn id="13" xr3:uid="{34A2A056-6253-4BF3-A20E-8656DCD311B9}" uniqueName="13" name="retail_shortfall_display" queryTableFieldId="27"/>
    <tableColumn id="10" xr3:uid="{17EA61DD-5C44-4421-8ADA-7CF675438996}" uniqueName="10" name="retail_capture_pct" queryTableFieldId="15" dataDxfId="1"/>
    <tableColumn id="12" xr3:uid="{2851A231-BA16-4360-83AE-0BA48BAB1BA2}" uniqueName="12" name="retail_capture_pct_display" queryTableFieldId="17" dataDxfId="0"/>
    <tableColumn id="2" xr3:uid="{EAE8025A-D2AD-4D25-AF70-210DBFC172ED}" uniqueName="2" name="is_retail_capped" queryTableFieldId="2"/>
    <tableColumn id="14" xr3:uid="{C2632524-DBCB-48C9-8C09-E1C7B286757E}" uniqueName="14" name="retail_pct" queryTableFieldId="32"/>
    <tableColumn id="15" xr3:uid="{091B49E1-3EC6-4789-9FB8-16FC1983C96A}" uniqueName="15" name="non_retail_pct" queryTableFieldId="33"/>
  </tableColumns>
  <tableStyleInfo name="Output 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9291F7E-6AE3-4C82-B9D0-7632CEB77A13}" name="retail_bottleneck_detail" displayName="retail_bottleneck_detail" ref="A1:J2" tableType="queryTable" totalsRowShown="0">
  <autoFilter ref="A1:J2" xr:uid="{A9291F7E-6AE3-4C82-B9D0-7632CEB77A13}"/>
  <tableColumns count="10">
    <tableColumn id="1" xr3:uid="{5A648F84-85ED-41C6-9FDF-186AC7663366}" uniqueName="1" name="company_key" queryTableFieldId="1"/>
    <tableColumn id="10" xr3:uid="{7F6B9C21-B87F-48E4-8447-1224D6E335C5}" uniqueName="10" name="company_display" queryTableFieldId="10" dataDxfId="31"/>
    <tableColumn id="2" xr3:uid="{3401501E-2A2F-4261-86AC-582665D5283A}" uniqueName="2" name="product_key" queryTableFieldId="2"/>
    <tableColumn id="8" xr3:uid="{8D649FE5-6724-4B23-9A31-BCBBFC88297C}" uniqueName="8" name="product_name" queryTableFieldId="8" dataDxfId="30"/>
    <tableColumn id="3" xr3:uid="{1FA2FE08-0027-4612-9863-70654CA8D12D}" uniqueName="3" name="quality_level" queryTableFieldId="3"/>
    <tableColumn id="4" xr3:uid="{AA63C03C-D215-419B-9592-DB7C9189C4B6}" uniqueName="4" name="building_key" queryTableFieldId="4"/>
    <tableColumn id="9" xr3:uid="{FBB245C8-75C2-4E1D-AA18-3A3285201AA0}" uniqueName="9" name="building_name" queryTableFieldId="9" dataDxfId="29"/>
    <tableColumn id="5" xr3:uid="{C7D962C8-628D-426B-B055-65EB3DA96B4A}" uniqueName="5" name="allocated_units_per_hour" queryTableFieldId="5"/>
    <tableColumn id="6" xr3:uid="{99CFE054-B4C1-4E97-9157-0DD901130CA5}" uniqueName="6" name="capacity_units_per_hour" queryTableFieldId="6"/>
    <tableColumn id="7" xr3:uid="{13698B70-08E1-4F0B-B51F-A57F325532B7}" uniqueName="7" name="capacity_used_pct" queryTableFieldId="7" dataDxfId="2"/>
  </tableColumns>
  <tableStyleInfo name="Output 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3733F90-889E-449A-B0AB-9458765C214E}" name="retail_allocation_result" displayName="retail_allocation_result" ref="A1:I2" tableType="queryTable" totalsRowShown="0">
  <autoFilter ref="A1:I2" xr:uid="{A3733F90-889E-449A-B0AB-9458765C214E}"/>
  <tableColumns count="9">
    <tableColumn id="1" xr3:uid="{4C5EF2B0-2B88-40AA-8193-7F7576C1BDB8}" uniqueName="1" name="company_key" queryTableFieldId="1"/>
    <tableColumn id="9" xr3:uid="{709F2899-C763-42C9-A4EE-85A8610BF294}" uniqueName="9" name="company_display" queryTableFieldId="9" dataDxfId="28"/>
    <tableColumn id="2" xr3:uid="{79325638-C392-4200-9DE5-27C73911C159}" uniqueName="2" name="product_key" queryTableFieldId="2"/>
    <tableColumn id="7" xr3:uid="{1A5FBD87-EFD3-418A-81DF-9217E53B18B9}" uniqueName="7" name="product_name" queryTableFieldId="7" dataDxfId="27"/>
    <tableColumn id="3" xr3:uid="{F01A16B7-B2EB-4E1F-A242-9D90CE4CF7B6}" uniqueName="3" name="quality_level" queryTableFieldId="3"/>
    <tableColumn id="4" xr3:uid="{DA9142A3-1342-4C07-8052-14906205B47A}" uniqueName="4" name="building_key" queryTableFieldId="4"/>
    <tableColumn id="8" xr3:uid="{F8439278-4E92-42E6-9BEE-56DA9E6A1218}" uniqueName="8" name="building_name" queryTableFieldId="8" dataDxfId="26"/>
    <tableColumn id="5" xr3:uid="{ABCD8945-D31D-4B4E-B821-38853237288C}" uniqueName="5" name="priority" queryTableFieldId="5"/>
    <tableColumn id="6" xr3:uid="{54E5B1F8-7232-4A32-AF97-BA483E364E0C}" uniqueName="6" name="allocated_units_per_hour" queryTableFieldId="6"/>
  </tableColumns>
  <tableStyleInfo name="Output 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clearing_result" displayName="clearing_result" ref="A1:J19" tableType="queryTable" totalsRowShown="0">
  <autoFilter ref="A1:J19" xr:uid="{04728E40-C452-47A7-BBD7-A726D5BEB2C3}"/>
  <sortState xmlns:xlrd2="http://schemas.microsoft.com/office/spreadsheetml/2017/richdata2" ref="A2:J19">
    <sortCondition ref="A1:A19"/>
  </sortState>
  <tableColumns count="10">
    <tableColumn id="3" xr3:uid="{5791FDDD-B276-47FE-878E-7A735D7E9E2D}" uniqueName="3" name="company_key" queryTableFieldId="3"/>
    <tableColumn id="10" xr3:uid="{1D90BFF4-EBBF-4E40-8D5B-63A46EC4C11B}" uniqueName="10" name="company_display" queryTableFieldId="16" dataDxfId="25"/>
    <tableColumn id="6" xr3:uid="{C4B02CD3-AE0F-4C2D-837B-3D2259AB1E26}" uniqueName="6" name="product_key" queryTableFieldId="6"/>
    <tableColumn id="8" xr3:uid="{03EA8B44-09C3-41F7-B24E-E4B3174B1E09}" uniqueName="8" name="product_name" queryTableFieldId="8" dataDxfId="24"/>
    <tableColumn id="7" xr3:uid="{99A70940-FFC9-4B37-9C35-8FE8C8ACF9A9}" uniqueName="7" name="quality_level" queryTableFieldId="7"/>
    <tableColumn id="2" xr3:uid="{CE81D9B4-8423-4A71-A899-D1DFC5FB7850}" uniqueName="2" name="channel_key" queryTableFieldId="2"/>
    <tableColumn id="9" xr3:uid="{DD1FC67C-D380-4BD2-956B-ACDA8DD6557C}" uniqueName="9" name="channel_name" queryTableFieldId="9" dataDxfId="23"/>
    <tableColumn id="5" xr3:uid="{90237FDB-7C99-4B5C-8AB8-6C1F09B9763E}" uniqueName="5" name="priority" queryTableFieldId="5"/>
    <tableColumn id="4" xr3:uid="{1D503F3A-EAFB-4C9F-B853-82A1EA04253D}" uniqueName="4" name="direction" queryTableFieldId="4" dataDxfId="22"/>
    <tableColumn id="1" xr3:uid="{5EF46A99-A05D-4CB4-BAD9-B069B6B7F8A1}" uniqueName="1" name="allocated_units_per_hour" queryTableFieldId="1"/>
  </tableColumns>
  <tableStyleInfo name="Output 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balance_plan" displayName="balance_plan" ref="A1:K18" tableType="queryTable" totalsRowShown="0">
  <autoFilter ref="A1:K18" xr:uid="{1300D389-4E92-4A3B-9E05-7AEF65561BAE}"/>
  <sortState xmlns:xlrd2="http://schemas.microsoft.com/office/spreadsheetml/2017/richdata2" ref="A2:K18">
    <sortCondition ref="A1:A18"/>
  </sortState>
  <tableColumns count="11">
    <tableColumn id="1" xr3:uid="{CD694EE8-0E4E-4F94-9345-A8C2B43CB088}" uniqueName="1" name="company_key" queryTableFieldId="1"/>
    <tableColumn id="10" xr3:uid="{C79FC2F8-76B4-4CCD-B787-B1F15E201FFD}" uniqueName="10" name="company_display" queryTableFieldId="12" dataDxfId="21"/>
    <tableColumn id="3" xr3:uid="{1D85DA38-5909-4CCF-8FE1-583DBC40D70B}" uniqueName="3" name="product_key" queryTableFieldId="3"/>
    <tableColumn id="9" xr3:uid="{BBB6619B-7374-41EA-A54B-DC515532AABE}" uniqueName="9" name="product_name" queryTableFieldId="9" dataDxfId="20"/>
    <tableColumn id="4" xr3:uid="{C0C835D5-9574-4FA9-AE20-F8A347F7017A}" uniqueName="4" name="quality_level" queryTableFieldId="4"/>
    <tableColumn id="11" xr3:uid="{DE659D61-C16A-42FA-955D-445A880C85D7}" uniqueName="11" name="building_key" queryTableFieldId="15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28253C-A623-45F6-A6FF-C3148486ACB1}" name="production_intent" displayName="production_intent" ref="A1:G17" tableType="queryTable" totalsRowShown="0">
  <autoFilter ref="A1:G17" xr:uid="{2128253C-A623-45F6-A6FF-C3148486ACB1}"/>
  <sortState xmlns:xlrd2="http://schemas.microsoft.com/office/spreadsheetml/2017/richdata2" ref="A2:G17">
    <sortCondition ref="A1:A17"/>
  </sortState>
  <tableColumns count="7">
    <tableColumn id="1" xr3:uid="{7164939C-7BE9-4810-A604-0192661E0846}" uniqueName="1" name="company_key" queryTableFieldId="1"/>
    <tableColumn id="2" xr3:uid="{D33C2A9A-3861-4561-8EBF-927054E4D667}" uniqueName="2" name="company_display" queryTableFieldId="2" dataDxfId="19"/>
    <tableColumn id="3" xr3:uid="{4C571EB7-C5C4-45C1-B8BE-87E084E00439}" uniqueName="3" name="product_key" queryTableFieldId="3"/>
    <tableColumn id="4" xr3:uid="{DBC29166-25C0-429A-948F-541189B61A50}" uniqueName="4" name="product_name" queryTableFieldId="4" dataDxfId="18"/>
    <tableColumn id="5" xr3:uid="{4180B472-D0A3-4B9A-BA1E-25362AB2FBB5}" uniqueName="5" name="quality_level" queryTableFieldId="5"/>
    <tableColumn id="7" xr3:uid="{6AB06F44-F47A-4F37-859D-7EDF7328AB5B}" uniqueName="7" name="building_key" queryTableFieldId="7"/>
    <tableColumn id="6" xr3:uid="{E6E9549B-64F9-4937-B059-E6BDC267C599}" uniqueName="6" name="units_produced_per_hour" queryTableFieldId="6"/>
  </tableColumns>
  <tableStyleInfo name="Output 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8EB919-161A-4C50-8CE8-3122CAD1FE65}" name="retail_priority_path" displayName="retail_priority_path" ref="A1:H19" tableType="queryTable" totalsRowShown="0">
  <autoFilter ref="A1:H19" xr:uid="{AC8EB919-161A-4C50-8CE8-3122CAD1FE65}"/>
  <sortState xmlns:xlrd2="http://schemas.microsoft.com/office/spreadsheetml/2017/richdata2" ref="A2:H19">
    <sortCondition ref="A1:A19"/>
  </sortState>
  <tableColumns count="8">
    <tableColumn id="1" xr3:uid="{C0F9C4F4-8880-4014-B396-F2E50BFB49B7}" uniqueName="1" name="company_key" queryTableFieldId="1"/>
    <tableColumn id="2" xr3:uid="{AD8A861E-757A-4F61-B616-66C05C312F41}" uniqueName="2" name="company_display" queryTableFieldId="2" dataDxfId="17"/>
    <tableColumn id="3" xr3:uid="{58265A06-B126-4336-BAB6-296FAC6CFB45}" uniqueName="3" name="product_key" queryTableFieldId="3"/>
    <tableColumn id="4" xr3:uid="{0B5B17CC-915E-4DC8-B82F-D96802D1FD63}" uniqueName="4" name="product_name" queryTableFieldId="4" dataDxfId="16"/>
    <tableColumn id="5" xr3:uid="{F4C456C4-0C86-4E3C-8729-155C3AB1714B}" uniqueName="5" name="quality_level" queryTableFieldId="5"/>
    <tableColumn id="6" xr3:uid="{E3290D3D-4232-4D7D-AA3C-6EA25494BC8E}" uniqueName="6" name="priority" queryTableFieldId="6"/>
    <tableColumn id="7" xr3:uid="{146CCCF3-871E-4676-B898-806A18206C37}" uniqueName="7" name="building_key" queryTableFieldId="7"/>
    <tableColumn id="8" xr3:uid="{B87AA33A-6D90-4415-ABAC-8FEDE81FA633}" uniqueName="8" name="building_name" queryTableFieldId="8" dataDxfId="15"/>
  </tableColumns>
  <tableStyleInfo name="Output Tab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product_bom_consumption" displayName="product_bom_consumption" ref="A1:G15" tableType="queryTable" totalsRowShown="0">
  <autoFilter ref="A1:G15" xr:uid="{8C33B665-0B3E-4DCA-8E34-3CA298178A8B}"/>
  <sortState xmlns:xlrd2="http://schemas.microsoft.com/office/spreadsheetml/2017/richdata2" ref="A2:G15">
    <sortCondition ref="A1:A15"/>
  </sortState>
  <tableColumns count="7">
    <tableColumn id="1" xr3:uid="{8C8E0191-AB97-491A-9CD9-2D7EF277F367}" uniqueName="1" name="company_key" queryTableFieldId="1"/>
    <tableColumn id="6" xr3:uid="{9E2A127D-9572-4EE6-9CF0-D6390452D4C3}" uniqueName="6" name="company_display" queryTableFieldId="6" dataDxfId="14"/>
    <tableColumn id="2" xr3:uid="{56F55EAE-DE1A-4A5D-9781-4A53FA2B93CD}" uniqueName="2" name="product_key" queryTableFieldId="2"/>
    <tableColumn id="5" xr3:uid="{483EB62E-6A1B-4111-B711-D04593AE9F0B}" uniqueName="5" name="product_name" queryTableFieldId="5" dataDxfId="13"/>
    <tableColumn id="3" xr3:uid="{A2533F7B-8C1E-4700-B21D-538E7D029C23}" uniqueName="3" name="quality_level" queryTableFieldId="3"/>
    <tableColumn id="7" xr3:uid="{7AEAEC1D-DE08-4191-A87E-83D62240124E}" uniqueName="7" name="building_key" queryTableFieldId="9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product_bom_demand_detail" displayName="product_bom_demand_detail" ref="A1:I26" tableType="queryTable" totalsRowShown="0">
  <autoFilter ref="A1:I26" xr:uid="{92A35A96-F0A5-49FF-B9D6-2619AA2BD39E}"/>
  <sortState xmlns:xlrd2="http://schemas.microsoft.com/office/spreadsheetml/2017/richdata2" ref="A2:I26">
    <sortCondition ref="A1:A26"/>
  </sortState>
  <tableColumns count="9">
    <tableColumn id="1" xr3:uid="{412FC8EA-6986-4A42-A543-5ECDAF655279}" uniqueName="1" name="company_key" queryTableFieldId="1"/>
    <tableColumn id="9" xr3:uid="{CD2DFE2E-AB4A-42C6-AF19-DC39EB7CAE66}" uniqueName="9" name="company_display" queryTableFieldId="9" dataDxfId="12"/>
    <tableColumn id="2" xr3:uid="{84B2F793-9F61-4994-AE18-A052E8FCE589}" uniqueName="2" name="source_product_key" queryTableFieldId="2"/>
    <tableColumn id="7" xr3:uid="{FB428588-CB05-4E31-BC98-D5D28BD4C411}" uniqueName="7" name="source_product_name" queryTableFieldId="7" dataDxfId="11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8" xr3:uid="{FE6C7E36-742E-4428-B671-3505D0C34606}" uniqueName="8" name="demanded_product_name" queryTableFieldId="8" dataDxfId="10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</tableColumns>
  <tableStyleInfo name="Output Tabl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activeCell="B2" sqref="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 t="s">
        <v>42</v>
      </c>
      <c r="B2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4FED-8A8C-45AB-BE9F-5A3311BDAA3E}">
  <dimension ref="A1:B4"/>
  <sheetViews>
    <sheetView workbookViewId="0"/>
  </sheetViews>
  <sheetFormatPr defaultRowHeight="16.5" x14ac:dyDescent="0.3"/>
  <cols>
    <col min="1" max="1" width="20.75" customWidth="1"/>
    <col min="2" max="2" width="22.625" customWidth="1"/>
  </cols>
  <sheetData>
    <row r="1" spans="1:2" x14ac:dyDescent="0.3">
      <c r="A1" t="s">
        <v>267</v>
      </c>
      <c r="B1" t="s">
        <v>268</v>
      </c>
    </row>
    <row r="2" spans="1:2" x14ac:dyDescent="0.3">
      <c r="A2">
        <v>1</v>
      </c>
      <c r="B2" t="s">
        <v>269</v>
      </c>
    </row>
    <row r="3" spans="1:2" x14ac:dyDescent="0.3">
      <c r="A3">
        <v>2</v>
      </c>
      <c r="B3" t="s">
        <v>270</v>
      </c>
    </row>
    <row r="4" spans="1:2" x14ac:dyDescent="0.3">
      <c r="A4">
        <v>3</v>
      </c>
      <c r="B4" t="s">
        <v>271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L258"/>
  <sheetViews>
    <sheetView showGridLines="0" workbookViewId="0">
      <selection activeCell="C113" sqref="C113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3.25" bestFit="1" customWidth="1"/>
    <col min="6" max="6" width="21.3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2" x14ac:dyDescent="0.3">
      <c r="A5" s="2" t="s">
        <v>0</v>
      </c>
      <c r="B5" s="1"/>
      <c r="C5" s="1"/>
    </row>
    <row r="6" spans="1:12" x14ac:dyDescent="0.3">
      <c r="A6" s="6" t="s">
        <v>44</v>
      </c>
      <c r="B6" t="s">
        <v>252</v>
      </c>
      <c r="C6" t="s">
        <v>250</v>
      </c>
      <c r="D6" t="s">
        <v>249</v>
      </c>
      <c r="E6" t="s">
        <v>268</v>
      </c>
      <c r="F6" t="s">
        <v>267</v>
      </c>
      <c r="G6" t="s">
        <v>253</v>
      </c>
      <c r="H6" t="s">
        <v>254</v>
      </c>
      <c r="I6" t="s">
        <v>263</v>
      </c>
      <c r="J6" t="s">
        <v>264</v>
      </c>
      <c r="K6" t="s">
        <v>255</v>
      </c>
      <c r="L6" t="s">
        <v>256</v>
      </c>
    </row>
    <row r="7" spans="1:12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 t="s">
        <v>269</v>
      </c>
      <c r="F7" s="7">
        <f>_xlfn.XLOOKUP(tblCompany[[#This Row],[economic_phase_name]],ref_economic_phase[economic_phase_name],ref_economic_phase[economic_phase_key])</f>
        <v>1</v>
      </c>
      <c r="G7">
        <v>20</v>
      </c>
      <c r="H7" s="4">
        <v>46172.427865972226</v>
      </c>
      <c r="I7" s="8">
        <v>0.04</v>
      </c>
      <c r="J7" s="8">
        <v>0</v>
      </c>
      <c r="K7" s="3" t="b">
        <v>0</v>
      </c>
    </row>
    <row r="8" spans="1:12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 t="s">
        <v>270</v>
      </c>
      <c r="F8" s="7">
        <f>_xlfn.XLOOKUP(tblCompany[[#This Row],[economic_phase_name]],ref_economic_phase[economic_phase_name],ref_economic_phase[economic_phase_key])</f>
        <v>2</v>
      </c>
      <c r="G8">
        <v>19</v>
      </c>
      <c r="H8" s="4">
        <v>46172.427865972226</v>
      </c>
      <c r="I8" s="8">
        <v>0</v>
      </c>
      <c r="J8" s="8">
        <v>0.03</v>
      </c>
      <c r="K8" s="3" t="b">
        <v>0</v>
      </c>
    </row>
    <row r="9" spans="1:12" x14ac:dyDescent="0.3">
      <c r="A9">
        <v>3</v>
      </c>
      <c r="B9" t="s">
        <v>5</v>
      </c>
      <c r="C9" t="s">
        <v>6</v>
      </c>
      <c r="D9" s="7">
        <f>_xlfn.XLOOKUP(tblCompany[[#This Row],[realm_name]],ref_realm[realm_name],ref_realm[realm_key])</f>
        <v>1</v>
      </c>
      <c r="E9" s="7" t="s">
        <v>269</v>
      </c>
      <c r="F9" s="7">
        <f>_xlfn.XLOOKUP(tblCompany[[#This Row],[economic_phase_name]],ref_economic_phase[economic_phase_name],ref_economic_phase[economic_phase_key])</f>
        <v>1</v>
      </c>
      <c r="G9">
        <v>20</v>
      </c>
      <c r="H9" s="4">
        <v>46190.764323611111</v>
      </c>
      <c r="I9" s="8">
        <v>0.04</v>
      </c>
      <c r="J9" s="8">
        <v>0</v>
      </c>
      <c r="K9" s="3" t="b">
        <v>1</v>
      </c>
    </row>
    <row r="10" spans="1:12" x14ac:dyDescent="0.3">
      <c r="A10">
        <v>4</v>
      </c>
      <c r="B10" t="s">
        <v>5</v>
      </c>
      <c r="C10" t="s">
        <v>7</v>
      </c>
      <c r="D10" s="7">
        <f>_xlfn.XLOOKUP(tblCompany[[#This Row],[realm_name]],ref_realm[realm_name],ref_realm[realm_key])</f>
        <v>2</v>
      </c>
      <c r="E10" s="7" t="s">
        <v>269</v>
      </c>
      <c r="F10" s="7">
        <f>_xlfn.XLOOKUP(tblCompany[[#This Row],[economic_phase_name]],ref_economic_phase[economic_phase_name],ref_economic_phase[economic_phase_key])</f>
        <v>1</v>
      </c>
      <c r="G10">
        <v>19</v>
      </c>
      <c r="H10" s="4">
        <v>46190.764323611111</v>
      </c>
      <c r="I10" s="8">
        <v>0</v>
      </c>
      <c r="J10" s="8">
        <v>0.03</v>
      </c>
      <c r="K10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44</v>
      </c>
      <c r="B20" t="s">
        <v>265</v>
      </c>
      <c r="C20" t="s">
        <v>67</v>
      </c>
      <c r="D20" t="s">
        <v>66</v>
      </c>
      <c r="E20" t="s">
        <v>257</v>
      </c>
      <c r="F20" t="s">
        <v>258</v>
      </c>
      <c r="G20" t="s">
        <v>255</v>
      </c>
      <c r="H20" t="s">
        <v>256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44" spans="1:8" x14ac:dyDescent="0.3">
      <c r="A44">
        <v>3</v>
      </c>
      <c r="B44">
        <v>1</v>
      </c>
      <c r="C44" t="s">
        <v>8</v>
      </c>
      <c r="D44" s="7">
        <f>_xlfn.XLOOKUP(tblMapStructure[[#This Row],[building_name]],ref_building[building_name],ref_building[building_key])</f>
        <v>41</v>
      </c>
      <c r="E44">
        <v>8</v>
      </c>
      <c r="F44" s="3" t="b">
        <v>0</v>
      </c>
      <c r="G44" s="3" t="b">
        <v>1</v>
      </c>
    </row>
    <row r="45" spans="1:8" x14ac:dyDescent="0.3">
      <c r="A45">
        <v>3</v>
      </c>
      <c r="B45">
        <v>2</v>
      </c>
      <c r="C45" t="s">
        <v>8</v>
      </c>
      <c r="D45" s="7">
        <f>_xlfn.XLOOKUP(tblMapStructure[[#This Row],[building_name]],ref_building[building_name],ref_building[building_key])</f>
        <v>41</v>
      </c>
      <c r="E45">
        <v>4</v>
      </c>
      <c r="F45" s="3" t="b">
        <v>0</v>
      </c>
      <c r="G45" s="3" t="b">
        <v>1</v>
      </c>
    </row>
    <row r="46" spans="1:8" x14ac:dyDescent="0.3">
      <c r="A46">
        <v>3</v>
      </c>
      <c r="B46">
        <v>3</v>
      </c>
      <c r="C46" t="s">
        <v>8</v>
      </c>
      <c r="D46" s="7">
        <f>_xlfn.XLOOKUP(tblMapStructure[[#This Row],[building_name]],ref_building[building_name],ref_building[building_key])</f>
        <v>41</v>
      </c>
      <c r="E46">
        <v>4</v>
      </c>
      <c r="F46" s="3" t="b">
        <v>0</v>
      </c>
      <c r="G46" s="3" t="b">
        <v>1</v>
      </c>
    </row>
    <row r="47" spans="1:8" x14ac:dyDescent="0.3">
      <c r="A47">
        <v>3</v>
      </c>
      <c r="B47">
        <v>4</v>
      </c>
      <c r="C47" t="s">
        <v>8</v>
      </c>
      <c r="D47" s="7">
        <f>_xlfn.XLOOKUP(tblMapStructure[[#This Row],[building_name]],ref_building[building_name],ref_building[building_key])</f>
        <v>41</v>
      </c>
      <c r="E47">
        <v>2</v>
      </c>
      <c r="F47" s="3" t="b">
        <v>0</v>
      </c>
      <c r="G47" s="3" t="b">
        <v>1</v>
      </c>
    </row>
    <row r="48" spans="1:8" x14ac:dyDescent="0.3">
      <c r="A48">
        <v>3</v>
      </c>
      <c r="B48">
        <v>5</v>
      </c>
      <c r="C48" t="s">
        <v>9</v>
      </c>
      <c r="D48" s="7">
        <f>_xlfn.XLOOKUP(tblMapStructure[[#This Row],[building_name]],ref_building[building_name],ref_building[building_key])</f>
        <v>53</v>
      </c>
      <c r="E48">
        <v>1</v>
      </c>
      <c r="F48" s="3" t="b">
        <v>0</v>
      </c>
      <c r="G48" s="3" t="b">
        <v>1</v>
      </c>
    </row>
    <row r="49" spans="1:7" x14ac:dyDescent="0.3">
      <c r="A49">
        <v>3</v>
      </c>
      <c r="B49">
        <v>6</v>
      </c>
      <c r="C49" t="s">
        <v>10</v>
      </c>
      <c r="D49" s="7">
        <f>_xlfn.XLOOKUP(tblMapStructure[[#This Row],[building_name]],ref_building[building_name],ref_building[building_key])</f>
        <v>17</v>
      </c>
      <c r="E49">
        <v>1</v>
      </c>
      <c r="F49" s="3" t="b">
        <v>0</v>
      </c>
      <c r="G49" s="3" t="b">
        <v>1</v>
      </c>
    </row>
    <row r="50" spans="1:7" x14ac:dyDescent="0.3">
      <c r="A50">
        <v>3</v>
      </c>
      <c r="B50">
        <v>7</v>
      </c>
      <c r="C50" t="s">
        <v>10</v>
      </c>
      <c r="D50" s="7">
        <f>_xlfn.XLOOKUP(tblMapStructure[[#This Row],[building_name]],ref_building[building_name],ref_building[building_key])</f>
        <v>17</v>
      </c>
      <c r="E50">
        <v>1</v>
      </c>
      <c r="F50" s="3" t="b">
        <v>0</v>
      </c>
      <c r="G50" s="3" t="b">
        <v>1</v>
      </c>
    </row>
    <row r="51" spans="1:7" x14ac:dyDescent="0.3">
      <c r="A51">
        <v>3</v>
      </c>
      <c r="B51">
        <v>8</v>
      </c>
      <c r="C51" t="s">
        <v>11</v>
      </c>
      <c r="D51" s="7">
        <f>_xlfn.XLOOKUP(tblMapStructure[[#This Row],[building_name]],ref_building[building_name],ref_building[building_key])</f>
        <v>19</v>
      </c>
      <c r="E51">
        <v>2</v>
      </c>
      <c r="F51" s="3" t="b">
        <v>0</v>
      </c>
      <c r="G51" s="3" t="b">
        <v>1</v>
      </c>
    </row>
    <row r="52" spans="1:7" x14ac:dyDescent="0.3">
      <c r="A52">
        <v>3</v>
      </c>
      <c r="B52">
        <v>9</v>
      </c>
      <c r="C52" t="s">
        <v>11</v>
      </c>
      <c r="D52" s="7">
        <f>_xlfn.XLOOKUP(tblMapStructure[[#This Row],[building_name]],ref_building[building_name],ref_building[building_key])</f>
        <v>19</v>
      </c>
      <c r="E52">
        <v>2</v>
      </c>
      <c r="F52" s="3" t="b">
        <v>0</v>
      </c>
      <c r="G52" s="3" t="b">
        <v>1</v>
      </c>
    </row>
    <row r="53" spans="1:7" x14ac:dyDescent="0.3">
      <c r="A53">
        <v>3</v>
      </c>
      <c r="B53">
        <v>10</v>
      </c>
      <c r="C53" t="s">
        <v>12</v>
      </c>
      <c r="D53" s="7">
        <f>_xlfn.XLOOKUP(tblMapStructure[[#This Row],[building_name]],ref_building[building_name],ref_building[building_key])</f>
        <v>36</v>
      </c>
      <c r="E53">
        <v>2</v>
      </c>
      <c r="F53" s="3" t="b">
        <v>0</v>
      </c>
      <c r="G53" s="3" t="b">
        <v>1</v>
      </c>
    </row>
    <row r="54" spans="1:7" x14ac:dyDescent="0.3">
      <c r="A54">
        <v>3</v>
      </c>
      <c r="B54">
        <v>11</v>
      </c>
      <c r="C54" t="s">
        <v>12</v>
      </c>
      <c r="D54" s="7">
        <f>_xlfn.XLOOKUP(tblMapStructure[[#This Row],[building_name]],ref_building[building_name],ref_building[building_key])</f>
        <v>36</v>
      </c>
      <c r="E54">
        <v>2</v>
      </c>
      <c r="F54" s="3" t="b">
        <v>0</v>
      </c>
      <c r="G54" s="3" t="b">
        <v>1</v>
      </c>
    </row>
    <row r="55" spans="1:7" x14ac:dyDescent="0.3">
      <c r="A55">
        <v>3</v>
      </c>
      <c r="B55">
        <v>12</v>
      </c>
      <c r="C55" t="s">
        <v>12</v>
      </c>
      <c r="D55" s="7">
        <f>_xlfn.XLOOKUP(tblMapStructure[[#This Row],[building_name]],ref_building[building_name],ref_building[building_key])</f>
        <v>36</v>
      </c>
      <c r="E55">
        <v>2</v>
      </c>
      <c r="F55" s="3" t="b">
        <v>0</v>
      </c>
      <c r="G55" s="3" t="b">
        <v>1</v>
      </c>
    </row>
    <row r="56" spans="1:7" x14ac:dyDescent="0.3">
      <c r="A56">
        <v>3</v>
      </c>
      <c r="B56">
        <v>13</v>
      </c>
      <c r="C56" t="s">
        <v>12</v>
      </c>
      <c r="D56" s="7">
        <f>_xlfn.XLOOKUP(tblMapStructure[[#This Row],[building_name]],ref_building[building_name],ref_building[building_key])</f>
        <v>36</v>
      </c>
      <c r="E56">
        <v>6</v>
      </c>
      <c r="F56" s="3" t="b">
        <v>0</v>
      </c>
      <c r="G56" s="3" t="b">
        <v>1</v>
      </c>
    </row>
    <row r="57" spans="1:7" x14ac:dyDescent="0.3">
      <c r="A57">
        <v>4</v>
      </c>
      <c r="B57">
        <v>1</v>
      </c>
      <c r="C57" t="s">
        <v>8</v>
      </c>
      <c r="D57" s="7">
        <f>_xlfn.XLOOKUP(tblMapStructure[[#This Row],[building_name]],ref_building[building_name],ref_building[building_key])</f>
        <v>41</v>
      </c>
      <c r="E57">
        <v>1</v>
      </c>
      <c r="F57" s="3" t="b">
        <v>0</v>
      </c>
      <c r="G57" s="3" t="b">
        <v>1</v>
      </c>
    </row>
    <row r="58" spans="1:7" x14ac:dyDescent="0.3">
      <c r="A58">
        <v>4</v>
      </c>
      <c r="B58">
        <v>2</v>
      </c>
      <c r="C58" t="s">
        <v>9</v>
      </c>
      <c r="D58" s="7">
        <f>_xlfn.XLOOKUP(tblMapStructure[[#This Row],[building_name]],ref_building[building_name],ref_building[building_key])</f>
        <v>53</v>
      </c>
      <c r="E58">
        <v>1</v>
      </c>
      <c r="F58" s="3" t="b">
        <v>0</v>
      </c>
      <c r="G58" s="3" t="b">
        <v>1</v>
      </c>
    </row>
    <row r="59" spans="1:7" x14ac:dyDescent="0.3">
      <c r="A59">
        <v>4</v>
      </c>
      <c r="B59">
        <v>3</v>
      </c>
      <c r="C59" t="s">
        <v>14</v>
      </c>
      <c r="D59" s="7">
        <f>_xlfn.XLOOKUP(tblMapStructure[[#This Row],[building_name]],ref_building[building_name],ref_building[building_key])</f>
        <v>20</v>
      </c>
      <c r="E59">
        <v>2</v>
      </c>
      <c r="F59" s="3" t="b">
        <v>0</v>
      </c>
      <c r="G59" s="3" t="b">
        <v>1</v>
      </c>
    </row>
    <row r="60" spans="1:7" x14ac:dyDescent="0.3">
      <c r="A60">
        <v>4</v>
      </c>
      <c r="B60">
        <v>4</v>
      </c>
      <c r="C60" t="s">
        <v>15</v>
      </c>
      <c r="D60" s="7">
        <f>_xlfn.XLOOKUP(tblMapStructure[[#This Row],[building_name]],ref_building[building_name],ref_building[building_key])</f>
        <v>24</v>
      </c>
      <c r="E60">
        <v>2</v>
      </c>
      <c r="F60" s="3" t="b">
        <v>0</v>
      </c>
      <c r="G60" s="3" t="b">
        <v>1</v>
      </c>
    </row>
    <row r="61" spans="1:7" x14ac:dyDescent="0.3">
      <c r="A61">
        <v>4</v>
      </c>
      <c r="B61">
        <v>5</v>
      </c>
      <c r="C61" t="s">
        <v>16</v>
      </c>
      <c r="D61" s="7">
        <f>_xlfn.XLOOKUP(tblMapStructure[[#This Row],[building_name]],ref_building[building_name],ref_building[building_key])</f>
        <v>8</v>
      </c>
      <c r="E61">
        <v>1</v>
      </c>
      <c r="F61" s="3" t="b">
        <v>0</v>
      </c>
      <c r="G61" s="3" t="b">
        <v>1</v>
      </c>
    </row>
    <row r="62" spans="1:7" x14ac:dyDescent="0.3">
      <c r="A62">
        <v>4</v>
      </c>
      <c r="B62">
        <v>6</v>
      </c>
      <c r="C62" t="s">
        <v>17</v>
      </c>
      <c r="D62" s="7">
        <f>_xlfn.XLOOKUP(tblMapStructure[[#This Row],[building_name]],ref_building[building_name],ref_building[building_key])</f>
        <v>28</v>
      </c>
      <c r="E62">
        <v>2</v>
      </c>
      <c r="F62" s="3" t="b">
        <v>0</v>
      </c>
      <c r="G62" s="3" t="b">
        <v>1</v>
      </c>
    </row>
    <row r="63" spans="1:7" x14ac:dyDescent="0.3">
      <c r="A63">
        <v>4</v>
      </c>
      <c r="B63">
        <v>7</v>
      </c>
      <c r="C63" t="s">
        <v>17</v>
      </c>
      <c r="D63" s="7">
        <f>_xlfn.XLOOKUP(tblMapStructure[[#This Row],[building_name]],ref_building[building_name],ref_building[building_key])</f>
        <v>28</v>
      </c>
      <c r="E63">
        <v>2</v>
      </c>
      <c r="F63" s="3" t="b">
        <v>0</v>
      </c>
      <c r="G63" s="3" t="b">
        <v>1</v>
      </c>
    </row>
    <row r="64" spans="1:7" x14ac:dyDescent="0.3">
      <c r="A64">
        <v>4</v>
      </c>
      <c r="B64">
        <v>8</v>
      </c>
      <c r="C64" t="s">
        <v>17</v>
      </c>
      <c r="D64" s="7">
        <f>_xlfn.XLOOKUP(tblMapStructure[[#This Row],[building_name]],ref_building[building_name],ref_building[building_key])</f>
        <v>28</v>
      </c>
      <c r="E64">
        <v>2</v>
      </c>
      <c r="F64" s="3" t="b">
        <v>0</v>
      </c>
      <c r="G64" s="3" t="b">
        <v>1</v>
      </c>
    </row>
    <row r="65" spans="1:9" x14ac:dyDescent="0.3">
      <c r="A65">
        <v>4</v>
      </c>
      <c r="B65">
        <v>9</v>
      </c>
      <c r="C65" t="s">
        <v>17</v>
      </c>
      <c r="D65" s="7">
        <f>_xlfn.XLOOKUP(tblMapStructure[[#This Row],[building_name]],ref_building[building_name],ref_building[building_key])</f>
        <v>28</v>
      </c>
      <c r="E65">
        <v>2</v>
      </c>
      <c r="F65" s="3" t="b">
        <v>0</v>
      </c>
      <c r="G65" s="3" t="b">
        <v>1</v>
      </c>
    </row>
    <row r="66" spans="1:9" x14ac:dyDescent="0.3">
      <c r="A66">
        <v>4</v>
      </c>
      <c r="B66">
        <v>10</v>
      </c>
      <c r="C66" t="s">
        <v>17</v>
      </c>
      <c r="D66" s="7">
        <f>_xlfn.XLOOKUP(tblMapStructure[[#This Row],[building_name]],ref_building[building_name],ref_building[building_key])</f>
        <v>28</v>
      </c>
      <c r="E66">
        <v>2</v>
      </c>
      <c r="F66" s="3" t="b">
        <v>0</v>
      </c>
      <c r="G66" s="3" t="b">
        <v>1</v>
      </c>
    </row>
    <row r="73" spans="1:9" x14ac:dyDescent="0.3">
      <c r="A73" s="2" t="s">
        <v>2</v>
      </c>
      <c r="B73" s="1"/>
      <c r="C73" s="1"/>
    </row>
    <row r="74" spans="1:9" x14ac:dyDescent="0.3">
      <c r="A74" s="6" t="s">
        <v>44</v>
      </c>
      <c r="B74" t="s">
        <v>265</v>
      </c>
      <c r="C74" t="s">
        <v>113</v>
      </c>
      <c r="D74" t="s">
        <v>35</v>
      </c>
      <c r="E74" t="s">
        <v>36</v>
      </c>
      <c r="F74" t="s">
        <v>309</v>
      </c>
      <c r="G74" t="s">
        <v>266</v>
      </c>
      <c r="H74" t="s">
        <v>255</v>
      </c>
      <c r="I74" t="s">
        <v>256</v>
      </c>
    </row>
    <row r="75" spans="1:9" x14ac:dyDescent="0.3">
      <c r="A75">
        <v>1</v>
      </c>
      <c r="B75">
        <v>1</v>
      </c>
      <c r="C75" t="s">
        <v>18</v>
      </c>
      <c r="D75" s="7">
        <f>_xlfn.XLOOKUP(tblProductionPlan[[#This Row],[product_name]],ref_product[product_name],ref_product[product_key])</f>
        <v>102</v>
      </c>
      <c r="E75">
        <v>2</v>
      </c>
      <c r="G75" s="8">
        <v>1</v>
      </c>
      <c r="H75" s="3" t="b">
        <v>1</v>
      </c>
    </row>
    <row r="76" spans="1:9" x14ac:dyDescent="0.3">
      <c r="A76">
        <v>1</v>
      </c>
      <c r="B76">
        <v>2</v>
      </c>
      <c r="C76" t="s">
        <v>18</v>
      </c>
      <c r="D76" s="7">
        <f>_xlfn.XLOOKUP(tblProductionPlan[[#This Row],[product_name]],ref_product[product_name],ref_product[product_key])</f>
        <v>102</v>
      </c>
      <c r="E76">
        <v>2</v>
      </c>
      <c r="G76" s="8">
        <v>1</v>
      </c>
      <c r="H76" s="3" t="b">
        <v>1</v>
      </c>
    </row>
    <row r="77" spans="1:9" x14ac:dyDescent="0.3">
      <c r="A77">
        <v>1</v>
      </c>
      <c r="B77">
        <v>3</v>
      </c>
      <c r="C77" t="s">
        <v>18</v>
      </c>
      <c r="D77" s="7">
        <f>_xlfn.XLOOKUP(tblProductionPlan[[#This Row],[product_name]],ref_product[product_name],ref_product[product_key])</f>
        <v>102</v>
      </c>
      <c r="E77">
        <v>2</v>
      </c>
      <c r="G77" s="8">
        <v>1</v>
      </c>
      <c r="H77" s="3" t="b">
        <v>1</v>
      </c>
    </row>
    <row r="78" spans="1:9" x14ac:dyDescent="0.3">
      <c r="A78">
        <v>1</v>
      </c>
      <c r="B78">
        <v>4</v>
      </c>
      <c r="C78" t="s">
        <v>18</v>
      </c>
      <c r="D78" s="7">
        <f>_xlfn.XLOOKUP(tblProductionPlan[[#This Row],[product_name]],ref_product[product_name],ref_product[product_key])</f>
        <v>102</v>
      </c>
      <c r="E78">
        <v>2</v>
      </c>
      <c r="G78" s="8">
        <v>1</v>
      </c>
      <c r="H78" s="3" t="b">
        <v>1</v>
      </c>
    </row>
    <row r="79" spans="1:9" x14ac:dyDescent="0.3">
      <c r="A79">
        <v>1</v>
      </c>
      <c r="B79">
        <v>5</v>
      </c>
      <c r="C79" t="s">
        <v>19</v>
      </c>
      <c r="D79" s="7">
        <f>_xlfn.XLOOKUP(tblProductionPlan[[#This Row],[product_name]],ref_product[product_name],ref_product[product_key])</f>
        <v>145</v>
      </c>
      <c r="E79">
        <v>2</v>
      </c>
      <c r="G79" s="8">
        <v>1</v>
      </c>
      <c r="H79" s="3" t="b">
        <v>1</v>
      </c>
    </row>
    <row r="80" spans="1:9" x14ac:dyDescent="0.3">
      <c r="A80">
        <v>1</v>
      </c>
      <c r="B80">
        <v>6</v>
      </c>
      <c r="C80" s="6" t="s">
        <v>31</v>
      </c>
      <c r="D80" s="7">
        <f>_xlfn.XLOOKUP(tblProductionPlan[[#This Row],[product_name]],ref_product[product_name],ref_product[product_key])</f>
        <v>69</v>
      </c>
      <c r="E80">
        <v>2</v>
      </c>
      <c r="G80" s="8">
        <v>1</v>
      </c>
      <c r="H80" s="3" t="b">
        <v>1</v>
      </c>
    </row>
    <row r="81" spans="1:8" x14ac:dyDescent="0.3">
      <c r="A81">
        <v>1</v>
      </c>
      <c r="B81">
        <v>7</v>
      </c>
      <c r="C81" s="6" t="s">
        <v>31</v>
      </c>
      <c r="D81" s="7">
        <f>_xlfn.XLOOKUP(tblProductionPlan[[#This Row],[product_name]],ref_product[product_name],ref_product[product_key])</f>
        <v>69</v>
      </c>
      <c r="E81">
        <v>2</v>
      </c>
      <c r="G81" s="8">
        <v>0.5</v>
      </c>
      <c r="H81" s="3" t="b">
        <v>1</v>
      </c>
    </row>
    <row r="82" spans="1:8" x14ac:dyDescent="0.3">
      <c r="A82">
        <v>1</v>
      </c>
      <c r="B82">
        <v>7</v>
      </c>
      <c r="C82" t="s">
        <v>20</v>
      </c>
      <c r="D82" s="7">
        <f>_xlfn.XLOOKUP(tblProductionPlan[[#This Row],[product_name]],ref_product[product_name],ref_product[product_key])</f>
        <v>10</v>
      </c>
      <c r="E82">
        <v>2</v>
      </c>
      <c r="G82" s="8">
        <v>0.5</v>
      </c>
      <c r="H82" s="3" t="b">
        <v>1</v>
      </c>
    </row>
    <row r="83" spans="1:8" x14ac:dyDescent="0.3">
      <c r="A83">
        <v>1</v>
      </c>
      <c r="B83">
        <v>8</v>
      </c>
      <c r="C83" t="s">
        <v>33</v>
      </c>
      <c r="D83" s="7">
        <f>_xlfn.XLOOKUP(tblProductionPlan[[#This Row],[product_name]],ref_product[product_name],ref_product[product_key])</f>
        <v>63</v>
      </c>
      <c r="E83">
        <v>2</v>
      </c>
      <c r="G83" s="8">
        <v>0.1</v>
      </c>
      <c r="H83" s="3" t="b">
        <v>1</v>
      </c>
    </row>
    <row r="84" spans="1:8" x14ac:dyDescent="0.3">
      <c r="A84">
        <v>1</v>
      </c>
      <c r="B84">
        <v>8</v>
      </c>
      <c r="C84" t="s">
        <v>21</v>
      </c>
      <c r="D84" s="7">
        <f>_xlfn.XLOOKUP(tblProductionPlan[[#This Row],[product_name]],ref_product[product_name],ref_product[product_key])</f>
        <v>23</v>
      </c>
      <c r="E84">
        <v>2</v>
      </c>
      <c r="G84" s="8">
        <v>0.9</v>
      </c>
      <c r="H84" s="3" t="b">
        <v>1</v>
      </c>
    </row>
    <row r="85" spans="1:8" x14ac:dyDescent="0.3">
      <c r="A85">
        <v>1</v>
      </c>
      <c r="B85">
        <v>9</v>
      </c>
      <c r="C85" t="s">
        <v>22</v>
      </c>
      <c r="D85" s="7">
        <f>_xlfn.XLOOKUP(tblProductionPlan[[#This Row],[product_name]],ref_product[product_name],ref_product[product_key])</f>
        <v>121</v>
      </c>
      <c r="E85">
        <v>2</v>
      </c>
      <c r="G85" s="8">
        <v>0.1</v>
      </c>
      <c r="H85" s="3" t="b">
        <v>1</v>
      </c>
    </row>
    <row r="86" spans="1:8" x14ac:dyDescent="0.3">
      <c r="A86">
        <v>1</v>
      </c>
      <c r="B86">
        <v>9</v>
      </c>
      <c r="C86" t="s">
        <v>21</v>
      </c>
      <c r="D86" s="7">
        <f>_xlfn.XLOOKUP(tblProductionPlan[[#This Row],[product_name]],ref_product[product_name],ref_product[product_key])</f>
        <v>23</v>
      </c>
      <c r="E86">
        <v>2</v>
      </c>
      <c r="G86" s="8">
        <v>0.9</v>
      </c>
      <c r="H86" s="3" t="b">
        <v>1</v>
      </c>
    </row>
    <row r="87" spans="1:8" x14ac:dyDescent="0.3">
      <c r="A87">
        <v>1</v>
      </c>
      <c r="B87">
        <v>10</v>
      </c>
      <c r="C87" t="s">
        <v>23</v>
      </c>
      <c r="D87" s="7">
        <f>_xlfn.XLOOKUP(tblProductionPlan[[#This Row],[product_name]],ref_product[product_name],ref_product[product_key])</f>
        <v>62</v>
      </c>
      <c r="E87">
        <v>2</v>
      </c>
      <c r="F87">
        <v>0.9</v>
      </c>
      <c r="G87" s="8">
        <v>1</v>
      </c>
      <c r="H87" s="3" t="b">
        <v>1</v>
      </c>
    </row>
    <row r="88" spans="1:8" x14ac:dyDescent="0.3">
      <c r="A88">
        <v>1</v>
      </c>
      <c r="B88">
        <v>11</v>
      </c>
      <c r="C88" t="s">
        <v>24</v>
      </c>
      <c r="D88" s="7">
        <f>_xlfn.XLOOKUP(tblProductionPlan[[#This Row],[product_name]],ref_product[product_name],ref_product[product_key])</f>
        <v>88</v>
      </c>
      <c r="E88">
        <v>2</v>
      </c>
      <c r="F88">
        <v>0.94199999999999995</v>
      </c>
      <c r="G88" s="8">
        <v>1</v>
      </c>
      <c r="H88" s="3" t="b">
        <v>1</v>
      </c>
    </row>
    <row r="89" spans="1:8" x14ac:dyDescent="0.3">
      <c r="A89">
        <v>1</v>
      </c>
      <c r="B89">
        <v>12</v>
      </c>
      <c r="C89" t="s">
        <v>24</v>
      </c>
      <c r="D89" s="7">
        <f>_xlfn.XLOOKUP(tblProductionPlan[[#This Row],[product_name]],ref_product[product_name],ref_product[product_key])</f>
        <v>88</v>
      </c>
      <c r="E89">
        <v>2</v>
      </c>
      <c r="F89">
        <v>0.91690000000000005</v>
      </c>
      <c r="G89" s="8">
        <v>1</v>
      </c>
      <c r="H89" s="3" t="b">
        <v>1</v>
      </c>
    </row>
    <row r="90" spans="1:8" x14ac:dyDescent="0.3">
      <c r="A90">
        <v>2</v>
      </c>
      <c r="B90">
        <v>1</v>
      </c>
      <c r="C90" t="s">
        <v>18</v>
      </c>
      <c r="D90" s="7">
        <f>_xlfn.XLOOKUP(tblProductionPlan[[#This Row],[product_name]],ref_product[product_name],ref_product[product_key])</f>
        <v>102</v>
      </c>
      <c r="E90">
        <v>0</v>
      </c>
      <c r="G90" s="8">
        <v>1</v>
      </c>
      <c r="H90" s="3" t="b">
        <v>1</v>
      </c>
    </row>
    <row r="91" spans="1:8" x14ac:dyDescent="0.3">
      <c r="A91">
        <v>2</v>
      </c>
      <c r="B91">
        <v>2</v>
      </c>
      <c r="C91" t="s">
        <v>19</v>
      </c>
      <c r="D91" s="7">
        <f>_xlfn.XLOOKUP(tblProductionPlan[[#This Row],[product_name]],ref_product[product_name],ref_product[product_key])</f>
        <v>145</v>
      </c>
      <c r="E91">
        <v>0</v>
      </c>
      <c r="G91" s="8">
        <v>1</v>
      </c>
      <c r="H91" s="3" t="b">
        <v>1</v>
      </c>
    </row>
    <row r="92" spans="1:8" x14ac:dyDescent="0.3">
      <c r="A92">
        <v>2</v>
      </c>
      <c r="B92">
        <v>3</v>
      </c>
      <c r="C92" t="s">
        <v>25</v>
      </c>
      <c r="D92" s="7">
        <f>_xlfn.XLOOKUP(tblProductionPlan[[#This Row],[product_name]],ref_product[product_name],ref_product[product_key])</f>
        <v>120</v>
      </c>
      <c r="E92">
        <v>0</v>
      </c>
      <c r="G92" s="8">
        <v>0.1</v>
      </c>
      <c r="H92" s="3" t="b">
        <v>1</v>
      </c>
    </row>
    <row r="93" spans="1:8" x14ac:dyDescent="0.3">
      <c r="A93">
        <v>2</v>
      </c>
      <c r="B93">
        <v>3</v>
      </c>
      <c r="C93" t="s">
        <v>27</v>
      </c>
      <c r="D93" s="7">
        <f>_xlfn.XLOOKUP(tblProductionPlan[[#This Row],[product_name]],ref_product[product_name],ref_product[product_key])</f>
        <v>135</v>
      </c>
      <c r="E93">
        <v>0</v>
      </c>
      <c r="G93" s="8">
        <v>0.1</v>
      </c>
      <c r="H93" s="3" t="b">
        <v>1</v>
      </c>
    </row>
    <row r="94" spans="1:8" x14ac:dyDescent="0.3">
      <c r="A94">
        <v>2</v>
      </c>
      <c r="B94">
        <v>3</v>
      </c>
      <c r="C94" t="s">
        <v>28</v>
      </c>
      <c r="D94" s="7">
        <f>_xlfn.XLOOKUP(tblProductionPlan[[#This Row],[product_name]],ref_product[product_name],ref_product[product_key])</f>
        <v>94</v>
      </c>
      <c r="E94">
        <v>0</v>
      </c>
      <c r="G94" s="8">
        <v>0.8</v>
      </c>
      <c r="H94" s="3" t="b">
        <v>1</v>
      </c>
    </row>
    <row r="95" spans="1:8" x14ac:dyDescent="0.3">
      <c r="A95">
        <v>2</v>
      </c>
      <c r="B95">
        <v>4</v>
      </c>
      <c r="C95" t="s">
        <v>26</v>
      </c>
      <c r="D95" s="7">
        <f>_xlfn.XLOOKUP(tblProductionPlan[[#This Row],[product_name]],ref_product[product_name],ref_product[product_key])</f>
        <v>134</v>
      </c>
      <c r="E95">
        <v>0</v>
      </c>
      <c r="G95" s="8">
        <v>1</v>
      </c>
      <c r="H95" s="3" t="b">
        <v>1</v>
      </c>
    </row>
    <row r="96" spans="1:8" x14ac:dyDescent="0.3">
      <c r="A96">
        <v>2</v>
      </c>
      <c r="B96">
        <v>5</v>
      </c>
      <c r="C96" t="s">
        <v>29</v>
      </c>
      <c r="D96" s="7">
        <f>_xlfn.XLOOKUP(tblProductionPlan[[#This Row],[product_name]],ref_product[product_name],ref_product[product_key])</f>
        <v>93</v>
      </c>
      <c r="E96">
        <v>0</v>
      </c>
      <c r="G96" s="8">
        <v>1</v>
      </c>
      <c r="H96" s="3" t="b">
        <v>1</v>
      </c>
    </row>
    <row r="97" spans="1:8" x14ac:dyDescent="0.3">
      <c r="A97">
        <v>3</v>
      </c>
      <c r="B97">
        <v>1</v>
      </c>
      <c r="C97" t="s">
        <v>18</v>
      </c>
      <c r="D97" s="7">
        <f>_xlfn.XLOOKUP(tblProductionPlan[[#This Row],[product_name]],ref_product[product_name],ref_product[product_key])</f>
        <v>102</v>
      </c>
      <c r="E97">
        <v>2</v>
      </c>
      <c r="G97" s="8">
        <v>1</v>
      </c>
      <c r="H97" s="3" t="b">
        <v>1</v>
      </c>
    </row>
    <row r="98" spans="1:8" x14ac:dyDescent="0.3">
      <c r="A98">
        <v>3</v>
      </c>
      <c r="B98">
        <v>2</v>
      </c>
      <c r="C98" t="s">
        <v>18</v>
      </c>
      <c r="D98" s="7">
        <f>_xlfn.XLOOKUP(tblProductionPlan[[#This Row],[product_name]],ref_product[product_name],ref_product[product_key])</f>
        <v>102</v>
      </c>
      <c r="E98">
        <v>2</v>
      </c>
      <c r="G98" s="8">
        <v>1</v>
      </c>
      <c r="H98" s="3" t="b">
        <v>1</v>
      </c>
    </row>
    <row r="99" spans="1:8" x14ac:dyDescent="0.3">
      <c r="A99">
        <v>3</v>
      </c>
      <c r="B99">
        <v>3</v>
      </c>
      <c r="C99" t="s">
        <v>18</v>
      </c>
      <c r="D99" s="7">
        <f>_xlfn.XLOOKUP(tblProductionPlan[[#This Row],[product_name]],ref_product[product_name],ref_product[product_key])</f>
        <v>102</v>
      </c>
      <c r="E99">
        <v>2</v>
      </c>
      <c r="G99" s="8">
        <v>1</v>
      </c>
      <c r="H99" s="3" t="b">
        <v>1</v>
      </c>
    </row>
    <row r="100" spans="1:8" x14ac:dyDescent="0.3">
      <c r="A100">
        <v>3</v>
      </c>
      <c r="B100">
        <v>4</v>
      </c>
      <c r="C100" t="s">
        <v>18</v>
      </c>
      <c r="D100" s="7">
        <f>_xlfn.XLOOKUP(tblProductionPlan[[#This Row],[product_name]],ref_product[product_name],ref_product[product_key])</f>
        <v>102</v>
      </c>
      <c r="E100">
        <v>2</v>
      </c>
      <c r="G100" s="8">
        <v>1</v>
      </c>
      <c r="H100" s="3" t="b">
        <v>1</v>
      </c>
    </row>
    <row r="101" spans="1:8" x14ac:dyDescent="0.3">
      <c r="A101">
        <v>3</v>
      </c>
      <c r="B101">
        <v>5</v>
      </c>
      <c r="C101" t="s">
        <v>19</v>
      </c>
      <c r="D101" s="7">
        <f>_xlfn.XLOOKUP(tblProductionPlan[[#This Row],[product_name]],ref_product[product_name],ref_product[product_key])</f>
        <v>145</v>
      </c>
      <c r="E101">
        <v>2</v>
      </c>
      <c r="G101" s="8">
        <v>1</v>
      </c>
      <c r="H101" s="3" t="b">
        <v>1</v>
      </c>
    </row>
    <row r="102" spans="1:8" x14ac:dyDescent="0.3">
      <c r="A102">
        <v>3</v>
      </c>
      <c r="B102">
        <v>6</v>
      </c>
      <c r="C102" s="6" t="s">
        <v>31</v>
      </c>
      <c r="D102" s="7">
        <f>_xlfn.XLOOKUP(tblProductionPlan[[#This Row],[product_name]],ref_product[product_name],ref_product[product_key])</f>
        <v>69</v>
      </c>
      <c r="E102">
        <v>2</v>
      </c>
      <c r="G102" s="8">
        <v>1</v>
      </c>
      <c r="H102" s="3" t="b">
        <v>1</v>
      </c>
    </row>
    <row r="103" spans="1:8" x14ac:dyDescent="0.3">
      <c r="A103">
        <v>3</v>
      </c>
      <c r="B103">
        <v>7</v>
      </c>
      <c r="C103" s="6" t="s">
        <v>31</v>
      </c>
      <c r="D103" s="7">
        <f>_xlfn.XLOOKUP(tblProductionPlan[[#This Row],[product_name]],ref_product[product_name],ref_product[product_key])</f>
        <v>69</v>
      </c>
      <c r="E103">
        <v>2</v>
      </c>
      <c r="G103" s="8">
        <v>0.5</v>
      </c>
      <c r="H103" s="3" t="b">
        <v>1</v>
      </c>
    </row>
    <row r="104" spans="1:8" x14ac:dyDescent="0.3">
      <c r="A104">
        <v>3</v>
      </c>
      <c r="B104">
        <v>7</v>
      </c>
      <c r="C104" t="s">
        <v>20</v>
      </c>
      <c r="D104" s="7">
        <f>_xlfn.XLOOKUP(tblProductionPlan[[#This Row],[product_name]],ref_product[product_name],ref_product[product_key])</f>
        <v>10</v>
      </c>
      <c r="E104">
        <v>2</v>
      </c>
      <c r="G104" s="8">
        <v>0.5</v>
      </c>
      <c r="H104" s="3" t="b">
        <v>1</v>
      </c>
    </row>
    <row r="105" spans="1:8" x14ac:dyDescent="0.3">
      <c r="A105">
        <v>3</v>
      </c>
      <c r="B105">
        <v>8</v>
      </c>
      <c r="C105" t="s">
        <v>33</v>
      </c>
      <c r="D105" s="7">
        <f>_xlfn.XLOOKUP(tblProductionPlan[[#This Row],[product_name]],ref_product[product_name],ref_product[product_key])</f>
        <v>63</v>
      </c>
      <c r="E105">
        <v>2</v>
      </c>
      <c r="G105" s="8">
        <v>0.1</v>
      </c>
      <c r="H105" s="3" t="b">
        <v>1</v>
      </c>
    </row>
    <row r="106" spans="1:8" x14ac:dyDescent="0.3">
      <c r="A106">
        <v>3</v>
      </c>
      <c r="B106">
        <v>8</v>
      </c>
      <c r="C106" t="s">
        <v>21</v>
      </c>
      <c r="D106" s="7">
        <f>_xlfn.XLOOKUP(tblProductionPlan[[#This Row],[product_name]],ref_product[product_name],ref_product[product_key])</f>
        <v>23</v>
      </c>
      <c r="E106">
        <v>2</v>
      </c>
      <c r="G106" s="8">
        <v>0.9</v>
      </c>
      <c r="H106" s="3" t="b">
        <v>1</v>
      </c>
    </row>
    <row r="107" spans="1:8" x14ac:dyDescent="0.3">
      <c r="A107">
        <v>3</v>
      </c>
      <c r="B107">
        <v>9</v>
      </c>
      <c r="C107" t="s">
        <v>22</v>
      </c>
      <c r="D107" s="7">
        <f>_xlfn.XLOOKUP(tblProductionPlan[[#This Row],[product_name]],ref_product[product_name],ref_product[product_key])</f>
        <v>121</v>
      </c>
      <c r="E107">
        <v>2</v>
      </c>
      <c r="G107" s="8">
        <v>0.1</v>
      </c>
      <c r="H107" s="3" t="b">
        <v>1</v>
      </c>
    </row>
    <row r="108" spans="1:8" x14ac:dyDescent="0.3">
      <c r="A108">
        <v>3</v>
      </c>
      <c r="B108">
        <v>9</v>
      </c>
      <c r="C108" t="s">
        <v>21</v>
      </c>
      <c r="D108" s="7">
        <f>_xlfn.XLOOKUP(tblProductionPlan[[#This Row],[product_name]],ref_product[product_name],ref_product[product_key])</f>
        <v>23</v>
      </c>
      <c r="E108">
        <v>2</v>
      </c>
      <c r="G108" s="8">
        <v>0.9</v>
      </c>
      <c r="H108" s="3" t="b">
        <v>1</v>
      </c>
    </row>
    <row r="109" spans="1:8" x14ac:dyDescent="0.3">
      <c r="A109">
        <v>3</v>
      </c>
      <c r="B109">
        <v>10</v>
      </c>
      <c r="C109" t="s">
        <v>23</v>
      </c>
      <c r="D109" s="7">
        <f>_xlfn.XLOOKUP(tblProductionPlan[[#This Row],[product_name]],ref_product[product_name],ref_product[product_key])</f>
        <v>62</v>
      </c>
      <c r="E109">
        <v>2</v>
      </c>
      <c r="F109">
        <v>0.9</v>
      </c>
      <c r="G109" s="8">
        <v>1</v>
      </c>
      <c r="H109" s="3" t="b">
        <v>1</v>
      </c>
    </row>
    <row r="110" spans="1:8" x14ac:dyDescent="0.3">
      <c r="A110">
        <v>3</v>
      </c>
      <c r="B110">
        <v>11</v>
      </c>
      <c r="C110" t="s">
        <v>24</v>
      </c>
      <c r="D110" s="7">
        <f>_xlfn.XLOOKUP(tblProductionPlan[[#This Row],[product_name]],ref_product[product_name],ref_product[product_key])</f>
        <v>88</v>
      </c>
      <c r="E110">
        <v>2</v>
      </c>
      <c r="F110">
        <v>0.94199999999999995</v>
      </c>
      <c r="G110" s="8">
        <v>1</v>
      </c>
      <c r="H110" s="3" t="b">
        <v>1</v>
      </c>
    </row>
    <row r="111" spans="1:8" x14ac:dyDescent="0.3">
      <c r="A111">
        <v>3</v>
      </c>
      <c r="B111">
        <v>12</v>
      </c>
      <c r="C111" t="s">
        <v>24</v>
      </c>
      <c r="D111" s="7">
        <f>_xlfn.XLOOKUP(tblProductionPlan[[#This Row],[product_name]],ref_product[product_name],ref_product[product_key])</f>
        <v>88</v>
      </c>
      <c r="E111">
        <v>2</v>
      </c>
      <c r="F111">
        <v>0.91690000000000005</v>
      </c>
      <c r="G111" s="8">
        <v>1</v>
      </c>
      <c r="H111" s="3" t="b">
        <v>1</v>
      </c>
    </row>
    <row r="112" spans="1:8" x14ac:dyDescent="0.3">
      <c r="A112">
        <v>3</v>
      </c>
      <c r="B112">
        <v>13</v>
      </c>
      <c r="C112" t="s">
        <v>23</v>
      </c>
      <c r="D112" s="7">
        <f>_xlfn.XLOOKUP(tblProductionPlan[[#This Row],[product_name]],ref_product[product_name],ref_product[product_key])</f>
        <v>62</v>
      </c>
      <c r="E112">
        <v>2</v>
      </c>
      <c r="F112">
        <v>0.94910000000000005</v>
      </c>
      <c r="G112" s="8">
        <v>1</v>
      </c>
      <c r="H112" s="3" t="b">
        <v>1</v>
      </c>
    </row>
    <row r="113" spans="1:8" x14ac:dyDescent="0.3">
      <c r="A113">
        <v>4</v>
      </c>
      <c r="B113">
        <v>1</v>
      </c>
      <c r="C113" t="s">
        <v>18</v>
      </c>
      <c r="D113" s="7">
        <f>_xlfn.XLOOKUP(tblProductionPlan[[#This Row],[product_name]],ref_product[product_name],ref_product[product_key])</f>
        <v>102</v>
      </c>
      <c r="E113">
        <v>0</v>
      </c>
      <c r="G113" s="8">
        <v>1</v>
      </c>
      <c r="H113" s="3" t="b">
        <v>1</v>
      </c>
    </row>
    <row r="114" spans="1:8" x14ac:dyDescent="0.3">
      <c r="A114">
        <v>4</v>
      </c>
      <c r="B114">
        <v>2</v>
      </c>
      <c r="C114" t="s">
        <v>19</v>
      </c>
      <c r="D114" s="7">
        <f>_xlfn.XLOOKUP(tblProductionPlan[[#This Row],[product_name]],ref_product[product_name],ref_product[product_key])</f>
        <v>145</v>
      </c>
      <c r="E114">
        <v>0</v>
      </c>
      <c r="G114" s="8">
        <v>1</v>
      </c>
      <c r="H114" s="3" t="b">
        <v>1</v>
      </c>
    </row>
    <row r="115" spans="1:8" x14ac:dyDescent="0.3">
      <c r="A115">
        <v>4</v>
      </c>
      <c r="B115">
        <v>3</v>
      </c>
      <c r="C115" t="s">
        <v>25</v>
      </c>
      <c r="D115" s="7">
        <f>_xlfn.XLOOKUP(tblProductionPlan[[#This Row],[product_name]],ref_product[product_name],ref_product[product_key])</f>
        <v>120</v>
      </c>
      <c r="E115">
        <v>0</v>
      </c>
      <c r="G115" s="8">
        <v>0.1</v>
      </c>
      <c r="H115" s="3" t="b">
        <v>1</v>
      </c>
    </row>
    <row r="116" spans="1:8" x14ac:dyDescent="0.3">
      <c r="A116">
        <v>4</v>
      </c>
      <c r="B116">
        <v>3</v>
      </c>
      <c r="C116" t="s">
        <v>27</v>
      </c>
      <c r="D116" s="7">
        <f>_xlfn.XLOOKUP(tblProductionPlan[[#This Row],[product_name]],ref_product[product_name],ref_product[product_key])</f>
        <v>135</v>
      </c>
      <c r="E116">
        <v>0</v>
      </c>
      <c r="G116" s="8">
        <v>0.1</v>
      </c>
      <c r="H116" s="3" t="b">
        <v>1</v>
      </c>
    </row>
    <row r="117" spans="1:8" x14ac:dyDescent="0.3">
      <c r="A117">
        <v>4</v>
      </c>
      <c r="B117">
        <v>3</v>
      </c>
      <c r="C117" t="s">
        <v>28</v>
      </c>
      <c r="D117" s="7">
        <f>_xlfn.XLOOKUP(tblProductionPlan[[#This Row],[product_name]],ref_product[product_name],ref_product[product_key])</f>
        <v>94</v>
      </c>
      <c r="E117">
        <v>0</v>
      </c>
      <c r="G117" s="8">
        <v>0.8</v>
      </c>
      <c r="H117" s="3" t="b">
        <v>1</v>
      </c>
    </row>
    <row r="118" spans="1:8" x14ac:dyDescent="0.3">
      <c r="A118">
        <v>4</v>
      </c>
      <c r="B118">
        <v>4</v>
      </c>
      <c r="C118" t="s">
        <v>26</v>
      </c>
      <c r="D118" s="7">
        <f>_xlfn.XLOOKUP(tblProductionPlan[[#This Row],[product_name]],ref_product[product_name],ref_product[product_key])</f>
        <v>134</v>
      </c>
      <c r="E118">
        <v>0</v>
      </c>
      <c r="G118" s="8">
        <v>1</v>
      </c>
      <c r="H118" s="3" t="b">
        <v>1</v>
      </c>
    </row>
    <row r="119" spans="1:8" x14ac:dyDescent="0.3">
      <c r="A119">
        <v>4</v>
      </c>
      <c r="B119">
        <v>5</v>
      </c>
      <c r="C119" t="s">
        <v>29</v>
      </c>
      <c r="D119" s="12">
        <f>_xlfn.XLOOKUP(tblProductionPlan[[#This Row],[product_name]],ref_product[product_name],ref_product[product_key])</f>
        <v>93</v>
      </c>
      <c r="E119">
        <v>0</v>
      </c>
      <c r="G119" s="8">
        <v>1</v>
      </c>
      <c r="H119" s="3" t="b">
        <v>1</v>
      </c>
    </row>
    <row r="133" spans="1:10" x14ac:dyDescent="0.3">
      <c r="A133" s="2" t="s">
        <v>38</v>
      </c>
      <c r="B133" s="1"/>
      <c r="C133" s="1"/>
    </row>
    <row r="134" spans="1:10" x14ac:dyDescent="0.3">
      <c r="A134" s="6" t="s">
        <v>44</v>
      </c>
      <c r="B134" t="s">
        <v>113</v>
      </c>
      <c r="C134" t="s">
        <v>35</v>
      </c>
      <c r="D134" t="s">
        <v>36</v>
      </c>
      <c r="E134" t="s">
        <v>57</v>
      </c>
      <c r="F134" t="s">
        <v>251</v>
      </c>
      <c r="G134" t="s">
        <v>55</v>
      </c>
      <c r="H134" t="s">
        <v>259</v>
      </c>
      <c r="I134" t="s">
        <v>262</v>
      </c>
      <c r="J134" t="s">
        <v>261</v>
      </c>
    </row>
    <row r="135" spans="1:10" x14ac:dyDescent="0.3">
      <c r="A135">
        <v>1</v>
      </c>
      <c r="B135" t="s">
        <v>18</v>
      </c>
      <c r="C135" s="7">
        <f>_xlfn.XLOOKUP(tblClearingPlan[[#This Row],[product_name]],ref_product[product_name],ref_product[product_key])</f>
        <v>102</v>
      </c>
      <c r="D135">
        <v>2</v>
      </c>
      <c r="E135">
        <v>1</v>
      </c>
      <c r="F135" t="s">
        <v>30</v>
      </c>
      <c r="G135" s="7">
        <f>_xlfn.XLOOKUP(tblClearingPlan[[#This Row],[channel_name]],ref_channel[channel_name],ref_channel[channel_key])</f>
        <v>2</v>
      </c>
      <c r="H135">
        <v>500000</v>
      </c>
      <c r="I135" s="7">
        <f>tblClearingPlan[[#This Row],[allocation_units_per_day]]/24</f>
        <v>20833.333333333332</v>
      </c>
    </row>
    <row r="136" spans="1:10" x14ac:dyDescent="0.3">
      <c r="A136">
        <v>1</v>
      </c>
      <c r="B136" t="s">
        <v>18</v>
      </c>
      <c r="C136" s="7">
        <f>_xlfn.XLOOKUP(tblClearingPlan[[#This Row],[product_name]],ref_product[product_name],ref_product[product_key])</f>
        <v>102</v>
      </c>
      <c r="D136">
        <v>2</v>
      </c>
      <c r="E136">
        <v>2</v>
      </c>
      <c r="F136" t="s">
        <v>39</v>
      </c>
      <c r="G136" s="7">
        <f>_xlfn.XLOOKUP(tblClearingPlan[[#This Row],[channel_name]],ref_channel[channel_name],ref_channel[channel_key])</f>
        <v>1</v>
      </c>
      <c r="I136" s="7">
        <f>tblClearingPlan[[#This Row],[allocation_units_per_day]]/24</f>
        <v>0</v>
      </c>
      <c r="J136">
        <v>1</v>
      </c>
    </row>
    <row r="137" spans="1:10" x14ac:dyDescent="0.3">
      <c r="A137">
        <v>1</v>
      </c>
      <c r="B137" t="s">
        <v>19</v>
      </c>
      <c r="C137" s="7">
        <f>_xlfn.XLOOKUP(tblClearingPlan[[#This Row],[product_name]],ref_product[product_name],ref_product[product_key])</f>
        <v>145</v>
      </c>
      <c r="D137">
        <v>2</v>
      </c>
      <c r="E137">
        <v>1</v>
      </c>
      <c r="F137" t="s">
        <v>30</v>
      </c>
      <c r="G137" s="7">
        <f>_xlfn.XLOOKUP(tblClearingPlan[[#This Row],[channel_name]],ref_channel[channel_name],ref_channel[channel_key])</f>
        <v>2</v>
      </c>
      <c r="I137" s="7">
        <f>tblClearingPlan[[#This Row],[allocation_units_per_day]]/24</f>
        <v>0</v>
      </c>
      <c r="J137">
        <v>1</v>
      </c>
    </row>
    <row r="138" spans="1:10" x14ac:dyDescent="0.3">
      <c r="A138">
        <v>1</v>
      </c>
      <c r="B138" t="s">
        <v>34</v>
      </c>
      <c r="C138" s="7">
        <f>_xlfn.XLOOKUP(tblClearingPlan[[#This Row],[product_name]],ref_product[product_name],ref_product[product_key])</f>
        <v>116</v>
      </c>
      <c r="D138">
        <v>2</v>
      </c>
      <c r="E138">
        <v>1</v>
      </c>
      <c r="F138" t="s">
        <v>30</v>
      </c>
      <c r="G138" s="7">
        <f>_xlfn.XLOOKUP(tblClearingPlan[[#This Row],[channel_name]],ref_channel[channel_name],ref_channel[channel_key])</f>
        <v>2</v>
      </c>
      <c r="I138" s="7">
        <f>tblClearingPlan[[#This Row],[allocation_units_per_day]]/24</f>
        <v>0</v>
      </c>
      <c r="J138">
        <v>1</v>
      </c>
    </row>
    <row r="139" spans="1:10" x14ac:dyDescent="0.3">
      <c r="A139">
        <v>1</v>
      </c>
      <c r="B139" t="s">
        <v>22</v>
      </c>
      <c r="C139" s="7">
        <f>_xlfn.XLOOKUP(tblClearingPlan[[#This Row],[product_name]],ref_product[product_name],ref_product[product_key])</f>
        <v>121</v>
      </c>
      <c r="D139">
        <v>2</v>
      </c>
      <c r="E139">
        <v>1</v>
      </c>
      <c r="F139" t="s">
        <v>30</v>
      </c>
      <c r="G139" s="7">
        <f>_xlfn.XLOOKUP(tblClearingPlan[[#This Row],[channel_name]],ref_channel[channel_name],ref_channel[channel_key])</f>
        <v>2</v>
      </c>
      <c r="I139" s="7">
        <f>tblClearingPlan[[#This Row],[allocation_units_per_day]]/24</f>
        <v>0</v>
      </c>
      <c r="J139">
        <v>1</v>
      </c>
    </row>
    <row r="140" spans="1:10" x14ac:dyDescent="0.3">
      <c r="A140">
        <v>1</v>
      </c>
      <c r="B140" t="s">
        <v>24</v>
      </c>
      <c r="C140" s="7">
        <f>_xlfn.XLOOKUP(tblClearingPlan[[#This Row],[product_name]],ref_product[product_name],ref_product[product_key])</f>
        <v>88</v>
      </c>
      <c r="D140">
        <v>2</v>
      </c>
      <c r="E140">
        <v>1</v>
      </c>
      <c r="F140" t="s">
        <v>30</v>
      </c>
      <c r="G140" s="7">
        <f>_xlfn.XLOOKUP(tblClearingPlan[[#This Row],[channel_name]],ref_channel[channel_name],ref_channel[channel_key])</f>
        <v>2</v>
      </c>
      <c r="I140" s="7">
        <f>tblClearingPlan[[#This Row],[allocation_units_per_day]]/24</f>
        <v>0</v>
      </c>
      <c r="J140">
        <v>1</v>
      </c>
    </row>
    <row r="141" spans="1:10" x14ac:dyDescent="0.3">
      <c r="A141">
        <v>1</v>
      </c>
      <c r="B141" t="s">
        <v>21</v>
      </c>
      <c r="C141" s="7">
        <f>_xlfn.XLOOKUP(tblClearingPlan[[#This Row],[product_name]],ref_product[product_name],ref_product[product_key])</f>
        <v>23</v>
      </c>
      <c r="D141">
        <v>2</v>
      </c>
      <c r="E141">
        <v>1</v>
      </c>
      <c r="F141" t="s">
        <v>30</v>
      </c>
      <c r="G141" s="7">
        <f>_xlfn.XLOOKUP(tblClearingPlan[[#This Row],[channel_name]],ref_channel[channel_name],ref_channel[channel_key])</f>
        <v>2</v>
      </c>
      <c r="I141" s="7">
        <f>tblClearingPlan[[#This Row],[allocation_units_per_day]]/24</f>
        <v>0</v>
      </c>
      <c r="J141">
        <v>1</v>
      </c>
    </row>
    <row r="142" spans="1:10" x14ac:dyDescent="0.3">
      <c r="A142">
        <v>1</v>
      </c>
      <c r="B142" t="s">
        <v>23</v>
      </c>
      <c r="C142" s="7">
        <f>_xlfn.XLOOKUP(tblClearingPlan[[#This Row],[product_name]],ref_product[product_name],ref_product[product_key])</f>
        <v>62</v>
      </c>
      <c r="D142">
        <v>2</v>
      </c>
      <c r="E142">
        <v>1</v>
      </c>
      <c r="F142" t="s">
        <v>30</v>
      </c>
      <c r="G142" s="7">
        <f>_xlfn.XLOOKUP(tblClearingPlan[[#This Row],[channel_name]],ref_channel[channel_name],ref_channel[channel_key])</f>
        <v>2</v>
      </c>
      <c r="I142" s="7">
        <f>tblClearingPlan[[#This Row],[allocation_units_per_day]]/24</f>
        <v>0</v>
      </c>
      <c r="J142">
        <v>1</v>
      </c>
    </row>
    <row r="143" spans="1:10" x14ac:dyDescent="0.3">
      <c r="A143">
        <v>1</v>
      </c>
      <c r="B143" t="s">
        <v>33</v>
      </c>
      <c r="C143" s="7">
        <f>_xlfn.XLOOKUP(tblClearingPlan[[#This Row],[product_name]],ref_product[product_name],ref_product[product_key])</f>
        <v>63</v>
      </c>
      <c r="D143">
        <v>2</v>
      </c>
      <c r="E143">
        <v>1</v>
      </c>
      <c r="F143" t="s">
        <v>30</v>
      </c>
      <c r="G143" s="7">
        <f>_xlfn.XLOOKUP(tblClearingPlan[[#This Row],[channel_name]],ref_channel[channel_name],ref_channel[channel_key])</f>
        <v>2</v>
      </c>
      <c r="I143" s="7">
        <f>tblClearingPlan[[#This Row],[allocation_units_per_day]]/24</f>
        <v>0</v>
      </c>
      <c r="J143">
        <v>1</v>
      </c>
    </row>
    <row r="144" spans="1:10" x14ac:dyDescent="0.3">
      <c r="A144">
        <v>1</v>
      </c>
      <c r="B144" t="s">
        <v>20</v>
      </c>
      <c r="C144" s="7">
        <f>_xlfn.XLOOKUP(tblClearingPlan[[#This Row],[product_name]],ref_product[product_name],ref_product[product_key])</f>
        <v>10</v>
      </c>
      <c r="D144">
        <v>2</v>
      </c>
      <c r="E144">
        <v>1</v>
      </c>
      <c r="F144" t="s">
        <v>30</v>
      </c>
      <c r="G144" s="7">
        <f>_xlfn.XLOOKUP(tblClearingPlan[[#This Row],[channel_name]],ref_channel[channel_name],ref_channel[channel_key])</f>
        <v>2</v>
      </c>
      <c r="I144" s="7">
        <f>tblClearingPlan[[#This Row],[allocation_units_per_day]]/24</f>
        <v>0</v>
      </c>
      <c r="J144">
        <v>1</v>
      </c>
    </row>
    <row r="145" spans="1:10" x14ac:dyDescent="0.3">
      <c r="A145">
        <v>1</v>
      </c>
      <c r="B145" t="s">
        <v>31</v>
      </c>
      <c r="C145" s="7">
        <f>_xlfn.XLOOKUP(tblClearingPlan[[#This Row],[product_name]],ref_product[product_name],ref_product[product_key])</f>
        <v>69</v>
      </c>
      <c r="D145">
        <v>2</v>
      </c>
      <c r="E145">
        <v>1</v>
      </c>
      <c r="F145" t="s">
        <v>30</v>
      </c>
      <c r="G145" s="7">
        <f>_xlfn.XLOOKUP(tblClearingPlan[[#This Row],[channel_name]],ref_channel[channel_name],ref_channel[channel_key])</f>
        <v>2</v>
      </c>
      <c r="I145" s="7">
        <f>tblClearingPlan[[#This Row],[allocation_units_per_day]]/24</f>
        <v>0</v>
      </c>
      <c r="J145">
        <v>1</v>
      </c>
    </row>
    <row r="146" spans="1:10" x14ac:dyDescent="0.3">
      <c r="A146">
        <v>2</v>
      </c>
      <c r="B146" t="s">
        <v>18</v>
      </c>
      <c r="C146" s="7">
        <f>_xlfn.XLOOKUP(tblClearingPlan[[#This Row],[product_name]],ref_product[product_name],ref_product[product_key])</f>
        <v>102</v>
      </c>
      <c r="D146">
        <v>0</v>
      </c>
      <c r="E146">
        <v>1</v>
      </c>
      <c r="F146" t="s">
        <v>30</v>
      </c>
      <c r="G146" s="7">
        <f>_xlfn.XLOOKUP(tblClearingPlan[[#This Row],[channel_name]],ref_channel[channel_name],ref_channel[channel_key])</f>
        <v>2</v>
      </c>
      <c r="I146" s="7">
        <f>tblClearingPlan[[#This Row],[allocation_units_per_day]]/24</f>
        <v>0</v>
      </c>
      <c r="J146">
        <v>1</v>
      </c>
    </row>
    <row r="147" spans="1:10" x14ac:dyDescent="0.3">
      <c r="A147">
        <v>2</v>
      </c>
      <c r="B147" t="s">
        <v>19</v>
      </c>
      <c r="C147" s="7">
        <f>_xlfn.XLOOKUP(tblClearingPlan[[#This Row],[product_name]],ref_product[product_name],ref_product[product_key])</f>
        <v>145</v>
      </c>
      <c r="D147">
        <v>0</v>
      </c>
      <c r="E147">
        <v>1</v>
      </c>
      <c r="F147" t="s">
        <v>30</v>
      </c>
      <c r="G147" s="7">
        <f>_xlfn.XLOOKUP(tblClearingPlan[[#This Row],[channel_name]],ref_channel[channel_name],ref_channel[channel_key])</f>
        <v>2</v>
      </c>
      <c r="I147" s="7">
        <f>tblClearingPlan[[#This Row],[allocation_units_per_day]]/24</f>
        <v>0</v>
      </c>
      <c r="J147">
        <v>1</v>
      </c>
    </row>
    <row r="148" spans="1:10" x14ac:dyDescent="0.3">
      <c r="A148">
        <v>2</v>
      </c>
      <c r="B148" t="s">
        <v>25</v>
      </c>
      <c r="C148" s="7">
        <f>_xlfn.XLOOKUP(tblClearingPlan[[#This Row],[product_name]],ref_product[product_name],ref_product[product_key])</f>
        <v>120</v>
      </c>
      <c r="D148">
        <v>0</v>
      </c>
      <c r="E148">
        <v>1</v>
      </c>
      <c r="F148" t="s">
        <v>30</v>
      </c>
      <c r="G148" s="7">
        <f>_xlfn.XLOOKUP(tblClearingPlan[[#This Row],[channel_name]],ref_channel[channel_name],ref_channel[channel_key])</f>
        <v>2</v>
      </c>
      <c r="I148" s="7">
        <f>tblClearingPlan[[#This Row],[allocation_units_per_day]]/24</f>
        <v>0</v>
      </c>
      <c r="J148">
        <v>1</v>
      </c>
    </row>
    <row r="149" spans="1:10" x14ac:dyDescent="0.3">
      <c r="A149">
        <v>2</v>
      </c>
      <c r="B149" t="s">
        <v>27</v>
      </c>
      <c r="C149" s="7">
        <f>_xlfn.XLOOKUP(tblClearingPlan[[#This Row],[product_name]],ref_product[product_name],ref_product[product_key])</f>
        <v>135</v>
      </c>
      <c r="D149">
        <v>0</v>
      </c>
      <c r="E149">
        <v>1</v>
      </c>
      <c r="F149" t="s">
        <v>30</v>
      </c>
      <c r="G149" s="7">
        <f>_xlfn.XLOOKUP(tblClearingPlan[[#This Row],[channel_name]],ref_channel[channel_name],ref_channel[channel_key])</f>
        <v>2</v>
      </c>
      <c r="I149" s="7">
        <f>tblClearingPlan[[#This Row],[allocation_units_per_day]]/24</f>
        <v>0</v>
      </c>
      <c r="J149">
        <v>1</v>
      </c>
    </row>
    <row r="150" spans="1:10" x14ac:dyDescent="0.3">
      <c r="A150">
        <v>2</v>
      </c>
      <c r="B150" t="s">
        <v>28</v>
      </c>
      <c r="C150" s="7">
        <f>_xlfn.XLOOKUP(tblClearingPlan[[#This Row],[product_name]],ref_product[product_name],ref_product[product_key])</f>
        <v>94</v>
      </c>
      <c r="D150">
        <v>0</v>
      </c>
      <c r="E150">
        <v>1</v>
      </c>
      <c r="F150" t="s">
        <v>30</v>
      </c>
      <c r="G150" s="7">
        <f>_xlfn.XLOOKUP(tblClearingPlan[[#This Row],[channel_name]],ref_channel[channel_name],ref_channel[channel_key])</f>
        <v>2</v>
      </c>
      <c r="I150" s="7">
        <f>tblClearingPlan[[#This Row],[allocation_units_per_day]]/24</f>
        <v>0</v>
      </c>
      <c r="J150">
        <v>1</v>
      </c>
    </row>
    <row r="151" spans="1:10" x14ac:dyDescent="0.3">
      <c r="A151">
        <v>2</v>
      </c>
      <c r="B151" t="s">
        <v>26</v>
      </c>
      <c r="C151" s="7">
        <f>_xlfn.XLOOKUP(tblClearingPlan[[#This Row],[product_name]],ref_product[product_name],ref_product[product_key])</f>
        <v>134</v>
      </c>
      <c r="D151">
        <v>0</v>
      </c>
      <c r="E151">
        <v>1</v>
      </c>
      <c r="F151" t="s">
        <v>30</v>
      </c>
      <c r="G151" s="7">
        <f>_xlfn.XLOOKUP(tblClearingPlan[[#This Row],[channel_name]],ref_channel[channel_name],ref_channel[channel_key])</f>
        <v>2</v>
      </c>
      <c r="I151" s="7">
        <f>tblClearingPlan[[#This Row],[allocation_units_per_day]]/24</f>
        <v>0</v>
      </c>
      <c r="J151">
        <v>1</v>
      </c>
    </row>
    <row r="152" spans="1:10" x14ac:dyDescent="0.3">
      <c r="A152">
        <v>2</v>
      </c>
      <c r="B152" t="s">
        <v>29</v>
      </c>
      <c r="C152" s="7">
        <f>_xlfn.XLOOKUP(tblClearingPlan[[#This Row],[product_name]],ref_product[product_name],ref_product[product_key])</f>
        <v>93</v>
      </c>
      <c r="D152">
        <v>0</v>
      </c>
      <c r="E152">
        <v>1</v>
      </c>
      <c r="F152" t="s">
        <v>32</v>
      </c>
      <c r="G152" s="7">
        <f>_xlfn.XLOOKUP(tblClearingPlan[[#This Row],[channel_name]],ref_channel[channel_name],ref_channel[channel_key])</f>
        <v>3</v>
      </c>
      <c r="I152" s="7">
        <f>tblClearingPlan[[#This Row],[allocation_units_per_day]]/24</f>
        <v>0</v>
      </c>
      <c r="J152">
        <v>1</v>
      </c>
    </row>
    <row r="153" spans="1:10" x14ac:dyDescent="0.3">
      <c r="A153">
        <v>2</v>
      </c>
      <c r="B153" t="s">
        <v>29</v>
      </c>
      <c r="C153" s="7">
        <f>_xlfn.XLOOKUP(tblClearingPlan[[#This Row],[product_name]],ref_product[product_name],ref_product[product_key])</f>
        <v>93</v>
      </c>
      <c r="D153">
        <v>0</v>
      </c>
      <c r="E153">
        <v>2</v>
      </c>
      <c r="F153" t="s">
        <v>30</v>
      </c>
      <c r="G153" s="7">
        <f>_xlfn.XLOOKUP(tblClearingPlan[[#This Row],[channel_name]],ref_channel[channel_name],ref_channel[channel_key])</f>
        <v>2</v>
      </c>
      <c r="I153" s="7">
        <f>tblClearingPlan[[#This Row],[allocation_units_per_day]]/24</f>
        <v>0</v>
      </c>
      <c r="J153">
        <v>1</v>
      </c>
    </row>
    <row r="154" spans="1:10" x14ac:dyDescent="0.3">
      <c r="A154">
        <v>3</v>
      </c>
      <c r="B154" t="s">
        <v>18</v>
      </c>
      <c r="C154" s="7">
        <f>_xlfn.XLOOKUP(tblClearingPlan[[#This Row],[product_name]],ref_product[product_name],ref_product[product_key])</f>
        <v>102</v>
      </c>
      <c r="D154">
        <v>2</v>
      </c>
      <c r="E154">
        <v>1</v>
      </c>
      <c r="F154" t="s">
        <v>30</v>
      </c>
      <c r="G154" s="7">
        <f>_xlfn.XLOOKUP(tblClearingPlan[[#This Row],[channel_name]],ref_channel[channel_name],ref_channel[channel_key])</f>
        <v>2</v>
      </c>
      <c r="I154" s="7">
        <f>tblClearingPlan[[#This Row],[allocation_units_per_day]]/24</f>
        <v>0</v>
      </c>
      <c r="J154">
        <v>1</v>
      </c>
    </row>
    <row r="155" spans="1:10" x14ac:dyDescent="0.3">
      <c r="A155">
        <v>3</v>
      </c>
      <c r="B155" t="s">
        <v>18</v>
      </c>
      <c r="C155" s="7">
        <f>_xlfn.XLOOKUP(tblClearingPlan[[#This Row],[product_name]],ref_product[product_name],ref_product[product_key])</f>
        <v>102</v>
      </c>
      <c r="D155">
        <v>2</v>
      </c>
      <c r="E155">
        <v>2</v>
      </c>
      <c r="F155" t="s">
        <v>39</v>
      </c>
      <c r="G155" s="7">
        <f>_xlfn.XLOOKUP(tblClearingPlan[[#This Row],[channel_name]],ref_channel[channel_name],ref_channel[channel_key])</f>
        <v>1</v>
      </c>
      <c r="I155" s="7">
        <f>tblClearingPlan[[#This Row],[allocation_units_per_day]]/24</f>
        <v>0</v>
      </c>
      <c r="J155">
        <v>1</v>
      </c>
    </row>
    <row r="156" spans="1:10" x14ac:dyDescent="0.3">
      <c r="A156">
        <v>3</v>
      </c>
      <c r="B156" t="s">
        <v>19</v>
      </c>
      <c r="C156" s="7">
        <f>_xlfn.XLOOKUP(tblClearingPlan[[#This Row],[product_name]],ref_product[product_name],ref_product[product_key])</f>
        <v>145</v>
      </c>
      <c r="D156">
        <v>2</v>
      </c>
      <c r="E156">
        <v>1</v>
      </c>
      <c r="F156" t="s">
        <v>30</v>
      </c>
      <c r="G156" s="7">
        <f>_xlfn.XLOOKUP(tblClearingPlan[[#This Row],[channel_name]],ref_channel[channel_name],ref_channel[channel_key])</f>
        <v>2</v>
      </c>
      <c r="I156" s="7">
        <f>tblClearingPlan[[#This Row],[allocation_units_per_day]]/24</f>
        <v>0</v>
      </c>
      <c r="J156">
        <v>1</v>
      </c>
    </row>
    <row r="157" spans="1:10" x14ac:dyDescent="0.3">
      <c r="A157">
        <v>3</v>
      </c>
      <c r="B157" t="s">
        <v>34</v>
      </c>
      <c r="C157" s="7">
        <f>_xlfn.XLOOKUP(tblClearingPlan[[#This Row],[product_name]],ref_product[product_name],ref_product[product_key])</f>
        <v>116</v>
      </c>
      <c r="D157">
        <v>2</v>
      </c>
      <c r="E157">
        <v>1</v>
      </c>
      <c r="F157" t="s">
        <v>30</v>
      </c>
      <c r="G157" s="7">
        <f>_xlfn.XLOOKUP(tblClearingPlan[[#This Row],[channel_name]],ref_channel[channel_name],ref_channel[channel_key])</f>
        <v>2</v>
      </c>
      <c r="I157" s="7">
        <f>tblClearingPlan[[#This Row],[allocation_units_per_day]]/24</f>
        <v>0</v>
      </c>
      <c r="J157">
        <v>1</v>
      </c>
    </row>
    <row r="158" spans="1:10" x14ac:dyDescent="0.3">
      <c r="A158">
        <v>3</v>
      </c>
      <c r="B158" t="s">
        <v>22</v>
      </c>
      <c r="C158" s="7">
        <f>_xlfn.XLOOKUP(tblClearingPlan[[#This Row],[product_name]],ref_product[product_name],ref_product[product_key])</f>
        <v>121</v>
      </c>
      <c r="D158">
        <v>2</v>
      </c>
      <c r="E158">
        <v>1</v>
      </c>
      <c r="F158" t="s">
        <v>30</v>
      </c>
      <c r="G158" s="7">
        <f>_xlfn.XLOOKUP(tblClearingPlan[[#This Row],[channel_name]],ref_channel[channel_name],ref_channel[channel_key])</f>
        <v>2</v>
      </c>
      <c r="I158" s="7">
        <f>tblClearingPlan[[#This Row],[allocation_units_per_day]]/24</f>
        <v>0</v>
      </c>
      <c r="J158">
        <v>1</v>
      </c>
    </row>
    <row r="159" spans="1:10" x14ac:dyDescent="0.3">
      <c r="A159">
        <v>3</v>
      </c>
      <c r="B159" t="s">
        <v>24</v>
      </c>
      <c r="C159" s="7">
        <f>_xlfn.XLOOKUP(tblClearingPlan[[#This Row],[product_name]],ref_product[product_name],ref_product[product_key])</f>
        <v>88</v>
      </c>
      <c r="D159">
        <v>2</v>
      </c>
      <c r="E159">
        <v>1</v>
      </c>
      <c r="F159" t="s">
        <v>30</v>
      </c>
      <c r="G159" s="7">
        <f>_xlfn.XLOOKUP(tblClearingPlan[[#This Row],[channel_name]],ref_channel[channel_name],ref_channel[channel_key])</f>
        <v>2</v>
      </c>
      <c r="I159" s="7">
        <f>tblClearingPlan[[#This Row],[allocation_units_per_day]]/24</f>
        <v>0</v>
      </c>
      <c r="J159">
        <v>1</v>
      </c>
    </row>
    <row r="160" spans="1:10" x14ac:dyDescent="0.3">
      <c r="A160">
        <v>3</v>
      </c>
      <c r="B160" t="s">
        <v>21</v>
      </c>
      <c r="C160" s="7">
        <f>_xlfn.XLOOKUP(tblClearingPlan[[#This Row],[product_name]],ref_product[product_name],ref_product[product_key])</f>
        <v>23</v>
      </c>
      <c r="D160">
        <v>2</v>
      </c>
      <c r="E160">
        <v>1</v>
      </c>
      <c r="F160" t="s">
        <v>30</v>
      </c>
      <c r="G160" s="7">
        <f>_xlfn.XLOOKUP(tblClearingPlan[[#This Row],[channel_name]],ref_channel[channel_name],ref_channel[channel_key])</f>
        <v>2</v>
      </c>
      <c r="I160" s="7">
        <f>tblClearingPlan[[#This Row],[allocation_units_per_day]]/24</f>
        <v>0</v>
      </c>
      <c r="J160">
        <v>1</v>
      </c>
    </row>
    <row r="161" spans="1:10" x14ac:dyDescent="0.3">
      <c r="A161">
        <v>3</v>
      </c>
      <c r="B161" t="s">
        <v>23</v>
      </c>
      <c r="C161" s="7">
        <f>_xlfn.XLOOKUP(tblClearingPlan[[#This Row],[product_name]],ref_product[product_name],ref_product[product_key])</f>
        <v>62</v>
      </c>
      <c r="D161">
        <v>2</v>
      </c>
      <c r="E161">
        <v>1</v>
      </c>
      <c r="F161" t="s">
        <v>30</v>
      </c>
      <c r="G161" s="7">
        <f>_xlfn.XLOOKUP(tblClearingPlan[[#This Row],[channel_name]],ref_channel[channel_name],ref_channel[channel_key])</f>
        <v>2</v>
      </c>
      <c r="I161" s="7">
        <f>tblClearingPlan[[#This Row],[allocation_units_per_day]]/24</f>
        <v>0</v>
      </c>
      <c r="J161">
        <v>1</v>
      </c>
    </row>
    <row r="162" spans="1:10" x14ac:dyDescent="0.3">
      <c r="A162">
        <v>3</v>
      </c>
      <c r="B162" t="s">
        <v>33</v>
      </c>
      <c r="C162" s="7">
        <f>_xlfn.XLOOKUP(tblClearingPlan[[#This Row],[product_name]],ref_product[product_name],ref_product[product_key])</f>
        <v>63</v>
      </c>
      <c r="D162">
        <v>2</v>
      </c>
      <c r="E162">
        <v>1</v>
      </c>
      <c r="F162" t="s">
        <v>30</v>
      </c>
      <c r="G162" s="7">
        <f>_xlfn.XLOOKUP(tblClearingPlan[[#This Row],[channel_name]],ref_channel[channel_name],ref_channel[channel_key])</f>
        <v>2</v>
      </c>
      <c r="I162" s="7">
        <f>tblClearingPlan[[#This Row],[allocation_units_per_day]]/24</f>
        <v>0</v>
      </c>
      <c r="J162">
        <v>1</v>
      </c>
    </row>
    <row r="163" spans="1:10" x14ac:dyDescent="0.3">
      <c r="A163">
        <v>3</v>
      </c>
      <c r="B163" t="s">
        <v>20</v>
      </c>
      <c r="C163" s="7">
        <f>_xlfn.XLOOKUP(tblClearingPlan[[#This Row],[product_name]],ref_product[product_name],ref_product[product_key])</f>
        <v>10</v>
      </c>
      <c r="D163">
        <v>2</v>
      </c>
      <c r="E163">
        <v>1</v>
      </c>
      <c r="F163" t="s">
        <v>30</v>
      </c>
      <c r="G163" s="7">
        <f>_xlfn.XLOOKUP(tblClearingPlan[[#This Row],[channel_name]],ref_channel[channel_name],ref_channel[channel_key])</f>
        <v>2</v>
      </c>
      <c r="I163" s="7">
        <f>tblClearingPlan[[#This Row],[allocation_units_per_day]]/24</f>
        <v>0</v>
      </c>
      <c r="J163">
        <v>1</v>
      </c>
    </row>
    <row r="164" spans="1:10" x14ac:dyDescent="0.3">
      <c r="A164">
        <v>3</v>
      </c>
      <c r="B164" t="s">
        <v>31</v>
      </c>
      <c r="C164" s="7">
        <f>_xlfn.XLOOKUP(tblClearingPlan[[#This Row],[product_name]],ref_product[product_name],ref_product[product_key])</f>
        <v>69</v>
      </c>
      <c r="D164">
        <v>2</v>
      </c>
      <c r="E164">
        <v>1</v>
      </c>
      <c r="F164" t="s">
        <v>30</v>
      </c>
      <c r="G164" s="7">
        <f>_xlfn.XLOOKUP(tblClearingPlan[[#This Row],[channel_name]],ref_channel[channel_name],ref_channel[channel_key])</f>
        <v>2</v>
      </c>
      <c r="I164" s="7">
        <f>tblClearingPlan[[#This Row],[allocation_units_per_day]]/24</f>
        <v>0</v>
      </c>
      <c r="J164">
        <v>1</v>
      </c>
    </row>
    <row r="165" spans="1:10" x14ac:dyDescent="0.3">
      <c r="A165">
        <v>4</v>
      </c>
      <c r="B165" t="s">
        <v>18</v>
      </c>
      <c r="C165" s="7">
        <f>_xlfn.XLOOKUP(tblClearingPlan[[#This Row],[product_name]],ref_product[product_name],ref_product[product_key])</f>
        <v>102</v>
      </c>
      <c r="D165">
        <v>0</v>
      </c>
      <c r="E165">
        <v>1</v>
      </c>
      <c r="F165" t="s">
        <v>30</v>
      </c>
      <c r="G165" s="7">
        <f>_xlfn.XLOOKUP(tblClearingPlan[[#This Row],[channel_name]],ref_channel[channel_name],ref_channel[channel_key])</f>
        <v>2</v>
      </c>
      <c r="I165" s="7">
        <f>tblClearingPlan[[#This Row],[allocation_units_per_day]]/24</f>
        <v>0</v>
      </c>
      <c r="J165">
        <v>1</v>
      </c>
    </row>
    <row r="166" spans="1:10" x14ac:dyDescent="0.3">
      <c r="A166">
        <v>4</v>
      </c>
      <c r="B166" t="s">
        <v>19</v>
      </c>
      <c r="C166" s="7">
        <f>_xlfn.XLOOKUP(tblClearingPlan[[#This Row],[product_name]],ref_product[product_name],ref_product[product_key])</f>
        <v>145</v>
      </c>
      <c r="D166">
        <v>0</v>
      </c>
      <c r="E166">
        <v>1</v>
      </c>
      <c r="F166" t="s">
        <v>30</v>
      </c>
      <c r="G166" s="7">
        <f>_xlfn.XLOOKUP(tblClearingPlan[[#This Row],[channel_name]],ref_channel[channel_name],ref_channel[channel_key])</f>
        <v>2</v>
      </c>
      <c r="I166" s="7">
        <f>tblClearingPlan[[#This Row],[allocation_units_per_day]]/24</f>
        <v>0</v>
      </c>
      <c r="J166">
        <v>1</v>
      </c>
    </row>
    <row r="167" spans="1:10" x14ac:dyDescent="0.3">
      <c r="A167">
        <v>4</v>
      </c>
      <c r="B167" t="s">
        <v>25</v>
      </c>
      <c r="C167" s="7">
        <f>_xlfn.XLOOKUP(tblClearingPlan[[#This Row],[product_name]],ref_product[product_name],ref_product[product_key])</f>
        <v>120</v>
      </c>
      <c r="D167">
        <v>0</v>
      </c>
      <c r="E167">
        <v>1</v>
      </c>
      <c r="F167" t="s">
        <v>30</v>
      </c>
      <c r="G167" s="7">
        <f>_xlfn.XLOOKUP(tblClearingPlan[[#This Row],[channel_name]],ref_channel[channel_name],ref_channel[channel_key])</f>
        <v>2</v>
      </c>
      <c r="I167" s="7">
        <f>tblClearingPlan[[#This Row],[allocation_units_per_day]]/24</f>
        <v>0</v>
      </c>
      <c r="J167">
        <v>1</v>
      </c>
    </row>
    <row r="168" spans="1:10" x14ac:dyDescent="0.3">
      <c r="A168">
        <v>4</v>
      </c>
      <c r="B168" t="s">
        <v>27</v>
      </c>
      <c r="C168" s="7">
        <f>_xlfn.XLOOKUP(tblClearingPlan[[#This Row],[product_name]],ref_product[product_name],ref_product[product_key])</f>
        <v>135</v>
      </c>
      <c r="D168">
        <v>0</v>
      </c>
      <c r="E168">
        <v>1</v>
      </c>
      <c r="F168" t="s">
        <v>30</v>
      </c>
      <c r="G168" s="7">
        <f>_xlfn.XLOOKUP(tblClearingPlan[[#This Row],[channel_name]],ref_channel[channel_name],ref_channel[channel_key])</f>
        <v>2</v>
      </c>
      <c r="I168" s="7">
        <f>tblClearingPlan[[#This Row],[allocation_units_per_day]]/24</f>
        <v>0</v>
      </c>
      <c r="J168">
        <v>1</v>
      </c>
    </row>
    <row r="169" spans="1:10" x14ac:dyDescent="0.3">
      <c r="A169">
        <v>4</v>
      </c>
      <c r="B169" t="s">
        <v>28</v>
      </c>
      <c r="C169" s="7">
        <f>_xlfn.XLOOKUP(tblClearingPlan[[#This Row],[product_name]],ref_product[product_name],ref_product[product_key])</f>
        <v>94</v>
      </c>
      <c r="D169">
        <v>0</v>
      </c>
      <c r="E169">
        <v>1</v>
      </c>
      <c r="F169" t="s">
        <v>30</v>
      </c>
      <c r="G169" s="7">
        <f>_xlfn.XLOOKUP(tblClearingPlan[[#This Row],[channel_name]],ref_channel[channel_name],ref_channel[channel_key])</f>
        <v>2</v>
      </c>
      <c r="I169" s="7">
        <f>tblClearingPlan[[#This Row],[allocation_units_per_day]]/24</f>
        <v>0</v>
      </c>
      <c r="J169">
        <v>1</v>
      </c>
    </row>
    <row r="170" spans="1:10" x14ac:dyDescent="0.3">
      <c r="A170">
        <v>4</v>
      </c>
      <c r="B170" t="s">
        <v>26</v>
      </c>
      <c r="C170" s="7">
        <f>_xlfn.XLOOKUP(tblClearingPlan[[#This Row],[product_name]],ref_product[product_name],ref_product[product_key])</f>
        <v>134</v>
      </c>
      <c r="D170">
        <v>0</v>
      </c>
      <c r="E170">
        <v>1</v>
      </c>
      <c r="F170" t="s">
        <v>30</v>
      </c>
      <c r="G170" s="7">
        <f>_xlfn.XLOOKUP(tblClearingPlan[[#This Row],[channel_name]],ref_channel[channel_name],ref_channel[channel_key])</f>
        <v>2</v>
      </c>
      <c r="I170" s="7">
        <f>tblClearingPlan[[#This Row],[allocation_units_per_day]]/24</f>
        <v>0</v>
      </c>
      <c r="J170">
        <v>1</v>
      </c>
    </row>
    <row r="171" spans="1:10" x14ac:dyDescent="0.3">
      <c r="A171">
        <v>4</v>
      </c>
      <c r="B171" t="s">
        <v>29</v>
      </c>
      <c r="C171" s="7">
        <f>_xlfn.XLOOKUP(tblClearingPlan[[#This Row],[product_name]],ref_product[product_name],ref_product[product_key])</f>
        <v>93</v>
      </c>
      <c r="D171">
        <v>0</v>
      </c>
      <c r="E171">
        <v>1</v>
      </c>
      <c r="F171" t="s">
        <v>32</v>
      </c>
      <c r="G171" s="7">
        <f>_xlfn.XLOOKUP(tblClearingPlan[[#This Row],[channel_name]],ref_channel[channel_name],ref_channel[channel_key])</f>
        <v>3</v>
      </c>
      <c r="I171" s="7">
        <f>tblClearingPlan[[#This Row],[allocation_units_per_day]]/24</f>
        <v>0</v>
      </c>
      <c r="J171">
        <v>1</v>
      </c>
    </row>
    <row r="172" spans="1:10" x14ac:dyDescent="0.3">
      <c r="A172">
        <v>4</v>
      </c>
      <c r="B172" t="s">
        <v>29</v>
      </c>
      <c r="C172" s="7">
        <f>_xlfn.XLOOKUP(tblClearingPlan[[#This Row],[product_name]],ref_product[product_name],ref_product[product_key])</f>
        <v>93</v>
      </c>
      <c r="D172">
        <v>0</v>
      </c>
      <c r="E172">
        <v>2</v>
      </c>
      <c r="F172" t="s">
        <v>30</v>
      </c>
      <c r="G172" s="7">
        <f>_xlfn.XLOOKUP(tblClearingPlan[[#This Row],[channel_name]],ref_channel[channel_name],ref_channel[channel_key])</f>
        <v>2</v>
      </c>
      <c r="I172" s="7">
        <f>tblClearingPlan[[#This Row],[allocation_units_per_day]]/24</f>
        <v>0</v>
      </c>
      <c r="J172">
        <v>1</v>
      </c>
    </row>
    <row r="185" spans="1:7" x14ac:dyDescent="0.3">
      <c r="A185" s="2" t="s">
        <v>272</v>
      </c>
      <c r="B185" s="1"/>
      <c r="C185" s="1"/>
    </row>
    <row r="186" spans="1:7" x14ac:dyDescent="0.3">
      <c r="A186" t="s">
        <v>44</v>
      </c>
      <c r="B186" t="s">
        <v>113</v>
      </c>
      <c r="C186" t="s">
        <v>35</v>
      </c>
      <c r="D186" t="s">
        <v>36</v>
      </c>
      <c r="E186" t="s">
        <v>67</v>
      </c>
      <c r="F186" t="s">
        <v>66</v>
      </c>
      <c r="G186" t="s">
        <v>57</v>
      </c>
    </row>
    <row r="187" spans="1:7" x14ac:dyDescent="0.3">
      <c r="A187">
        <v>2</v>
      </c>
      <c r="B187" t="s">
        <v>29</v>
      </c>
      <c r="C187" s="7">
        <f>_xlfn.XLOOKUP(tblRetailPlan[[#This Row],[product_name]],ref_product[product_name],ref_product[product_key])</f>
        <v>93</v>
      </c>
      <c r="D187">
        <v>0</v>
      </c>
      <c r="E187" t="s">
        <v>17</v>
      </c>
      <c r="F187" s="7">
        <f>_xlfn.XLOOKUP(tblRetailPlan[[#This Row],[building_name]],ref_building[building_name],ref_building[building_key])</f>
        <v>28</v>
      </c>
      <c r="G187">
        <v>1</v>
      </c>
    </row>
    <row r="188" spans="1:7" x14ac:dyDescent="0.3">
      <c r="A188">
        <v>4</v>
      </c>
      <c r="B188" t="s">
        <v>29</v>
      </c>
      <c r="C188" s="7">
        <f>_xlfn.XLOOKUP(tblRetailPlan[[#This Row],[product_name]],ref_product[product_name],ref_product[product_key])</f>
        <v>93</v>
      </c>
      <c r="D188">
        <v>0</v>
      </c>
      <c r="E188" t="s">
        <v>17</v>
      </c>
      <c r="F188" s="7">
        <f>_xlfn.XLOOKUP(tblRetailPlan[[#This Row],[building_name]],ref_building[building_name],ref_building[building_key])</f>
        <v>28</v>
      </c>
      <c r="G188">
        <v>1</v>
      </c>
    </row>
    <row r="194" spans="1:3" x14ac:dyDescent="0.3">
      <c r="A194" s="2"/>
      <c r="B194" s="1"/>
      <c r="C194" s="1"/>
    </row>
    <row r="227" spans="1:6" x14ac:dyDescent="0.3">
      <c r="A227" s="2" t="s">
        <v>3</v>
      </c>
      <c r="B227" s="1"/>
      <c r="C227" s="1"/>
    </row>
    <row r="228" spans="1:6" x14ac:dyDescent="0.3">
      <c r="A228" s="6" t="s">
        <v>250</v>
      </c>
      <c r="B228" s="6" t="s">
        <v>249</v>
      </c>
      <c r="C228" t="s">
        <v>113</v>
      </c>
      <c r="D228" t="s">
        <v>35</v>
      </c>
      <c r="E228" t="s">
        <v>36</v>
      </c>
      <c r="F228" t="s">
        <v>260</v>
      </c>
    </row>
    <row r="229" spans="1:6" x14ac:dyDescent="0.3">
      <c r="A229" t="s">
        <v>6</v>
      </c>
      <c r="B229" s="7">
        <f>_xlfn.XLOOKUP(tblOverrideExchangePrices[[#This Row],[realm_name]],ref_realm[realm_name],ref_realm[realm_key])</f>
        <v>1</v>
      </c>
      <c r="C229" t="s">
        <v>18</v>
      </c>
      <c r="D229" s="7">
        <f>_xlfn.XLOOKUP(tblOverrideExchangePrices[[#This Row],[product_name]],ref_product[product_name],ref_product[product_key])</f>
        <v>102</v>
      </c>
      <c r="E229">
        <v>2</v>
      </c>
      <c r="F229" s="5">
        <v>0.27200000000000002</v>
      </c>
    </row>
    <row r="230" spans="1:6" x14ac:dyDescent="0.3">
      <c r="A230" t="s">
        <v>6</v>
      </c>
      <c r="B230" s="7">
        <f>_xlfn.XLOOKUP(tblOverrideExchangePrices[[#This Row],[realm_name]],ref_realm[realm_name],ref_realm[realm_key])</f>
        <v>1</v>
      </c>
      <c r="C230" t="s">
        <v>19</v>
      </c>
      <c r="D230" s="7">
        <f>_xlfn.XLOOKUP(tblOverrideExchangePrices[[#This Row],[product_name]],ref_product[product_name],ref_product[product_key])</f>
        <v>145</v>
      </c>
      <c r="E230">
        <v>2</v>
      </c>
      <c r="F230" s="5">
        <v>0.379</v>
      </c>
    </row>
    <row r="231" spans="1:6" x14ac:dyDescent="0.3">
      <c r="A231" t="s">
        <v>6</v>
      </c>
      <c r="B231" s="7">
        <f>_xlfn.XLOOKUP(tblOverrideExchangePrices[[#This Row],[realm_name]],ref_realm[realm_name],ref_realm[realm_key])</f>
        <v>1</v>
      </c>
      <c r="C231" t="s">
        <v>23</v>
      </c>
      <c r="D231" s="7">
        <f>_xlfn.XLOOKUP(tblOverrideExchangePrices[[#This Row],[product_name]],ref_product[product_name],ref_product[product_key])</f>
        <v>62</v>
      </c>
      <c r="E231">
        <v>2</v>
      </c>
      <c r="F231" s="5">
        <v>33.5</v>
      </c>
    </row>
    <row r="232" spans="1:6" x14ac:dyDescent="0.3">
      <c r="A232" t="s">
        <v>6</v>
      </c>
      <c r="B232" s="7">
        <f>_xlfn.XLOOKUP(tblOverrideExchangePrices[[#This Row],[realm_name]],ref_realm[realm_name],ref_realm[realm_key])</f>
        <v>1</v>
      </c>
      <c r="C232" t="s">
        <v>33</v>
      </c>
      <c r="D232" s="7">
        <f>_xlfn.XLOOKUP(tblOverrideExchangePrices[[#This Row],[product_name]],ref_product[product_name],ref_product[product_key])</f>
        <v>63</v>
      </c>
      <c r="E232">
        <v>2</v>
      </c>
      <c r="F232" s="5">
        <v>6750</v>
      </c>
    </row>
    <row r="233" spans="1:6" x14ac:dyDescent="0.3">
      <c r="A233" t="s">
        <v>6</v>
      </c>
      <c r="B233" s="7">
        <f>_xlfn.XLOOKUP(tblOverrideExchangePrices[[#This Row],[realm_name]],ref_realm[realm_name],ref_realm[realm_key])</f>
        <v>1</v>
      </c>
      <c r="C233" t="s">
        <v>24</v>
      </c>
      <c r="D233" s="7">
        <f>_xlfn.XLOOKUP(tblOverrideExchangePrices[[#This Row],[product_name]],ref_product[product_name],ref_product[product_key])</f>
        <v>88</v>
      </c>
      <c r="E233">
        <v>2</v>
      </c>
      <c r="F233" s="5">
        <v>12.5</v>
      </c>
    </row>
    <row r="234" spans="1:6" x14ac:dyDescent="0.3">
      <c r="A234" t="s">
        <v>6</v>
      </c>
      <c r="B234" s="7">
        <f>_xlfn.XLOOKUP(tblOverrideExchangePrices[[#This Row],[realm_name]],ref_realm[realm_name],ref_realm[realm_key])</f>
        <v>1</v>
      </c>
      <c r="C234" t="s">
        <v>21</v>
      </c>
      <c r="D234" s="7">
        <f>_xlfn.XLOOKUP(tblOverrideExchangePrices[[#This Row],[product_name]],ref_product[product_name],ref_product[product_key])</f>
        <v>23</v>
      </c>
      <c r="E234">
        <v>2</v>
      </c>
      <c r="F234" s="5">
        <v>15.8</v>
      </c>
    </row>
    <row r="235" spans="1:6" x14ac:dyDescent="0.3">
      <c r="A235" t="s">
        <v>6</v>
      </c>
      <c r="B235" s="7">
        <f>_xlfn.XLOOKUP(tblOverrideExchangePrices[[#This Row],[realm_name]],ref_realm[realm_name],ref_realm[realm_key])</f>
        <v>1</v>
      </c>
      <c r="C235" t="s">
        <v>34</v>
      </c>
      <c r="D235" s="7">
        <f>_xlfn.XLOOKUP(tblOverrideExchangePrices[[#This Row],[product_name]],ref_product[product_name],ref_product[product_key])</f>
        <v>116</v>
      </c>
      <c r="E235">
        <v>2</v>
      </c>
      <c r="F235" s="5">
        <v>1.32</v>
      </c>
    </row>
    <row r="236" spans="1:6" x14ac:dyDescent="0.3">
      <c r="A236" t="s">
        <v>6</v>
      </c>
      <c r="B236" s="7">
        <f>_xlfn.XLOOKUP(tblOverrideExchangePrices[[#This Row],[realm_name]],ref_realm[realm_name],ref_realm[realm_key])</f>
        <v>1</v>
      </c>
      <c r="C236" t="s">
        <v>22</v>
      </c>
      <c r="D236" s="7">
        <f>_xlfn.XLOOKUP(tblOverrideExchangePrices[[#This Row],[product_name]],ref_product[product_name],ref_product[product_key])</f>
        <v>121</v>
      </c>
      <c r="E236">
        <v>2</v>
      </c>
      <c r="F236" s="5">
        <v>8.8000000000000007</v>
      </c>
    </row>
    <row r="237" spans="1:6" x14ac:dyDescent="0.3">
      <c r="A237" t="s">
        <v>6</v>
      </c>
      <c r="B237" s="7">
        <f>_xlfn.XLOOKUP(tblOverrideExchangePrices[[#This Row],[realm_name]],ref_realm[realm_name],ref_realm[realm_key])</f>
        <v>1</v>
      </c>
      <c r="C237" t="s">
        <v>20</v>
      </c>
      <c r="D237" s="7">
        <f>_xlfn.XLOOKUP(tblOverrideExchangePrices[[#This Row],[product_name]],ref_product[product_name],ref_product[product_key])</f>
        <v>10</v>
      </c>
      <c r="E237">
        <v>2</v>
      </c>
      <c r="F237" s="5">
        <v>91</v>
      </c>
    </row>
    <row r="238" spans="1:6" x14ac:dyDescent="0.3">
      <c r="A238" t="s">
        <v>6</v>
      </c>
      <c r="B238" s="7">
        <f>_xlfn.XLOOKUP(tblOverrideExchangePrices[[#This Row],[realm_name]],ref_realm[realm_name],ref_realm[realm_key])</f>
        <v>1</v>
      </c>
      <c r="C238" t="s">
        <v>31</v>
      </c>
      <c r="D238" s="7">
        <f>_xlfn.XLOOKUP(tblOverrideExchangePrices[[#This Row],[product_name]],ref_product[product_name],ref_product[product_key])</f>
        <v>69</v>
      </c>
      <c r="E238">
        <v>2</v>
      </c>
      <c r="F238" s="5">
        <v>890</v>
      </c>
    </row>
    <row r="239" spans="1:6" x14ac:dyDescent="0.3">
      <c r="A239" t="s">
        <v>7</v>
      </c>
      <c r="B239" s="7">
        <f>_xlfn.XLOOKUP(tblOverrideExchangePrices[[#This Row],[realm_name]],ref_realm[realm_name],ref_realm[realm_key])</f>
        <v>2</v>
      </c>
      <c r="C239" t="s">
        <v>18</v>
      </c>
      <c r="D239" s="7">
        <f>_xlfn.XLOOKUP(tblOverrideExchangePrices[[#This Row],[product_name]],ref_product[product_name],ref_product[product_key])</f>
        <v>102</v>
      </c>
      <c r="E239">
        <v>0</v>
      </c>
      <c r="F239" s="5">
        <v>0.249</v>
      </c>
    </row>
    <row r="240" spans="1:6" x14ac:dyDescent="0.3">
      <c r="A240" t="s">
        <v>7</v>
      </c>
      <c r="B240" s="7">
        <f>_xlfn.XLOOKUP(tblOverrideExchangePrices[[#This Row],[realm_name]],ref_realm[realm_name],ref_realm[realm_key])</f>
        <v>2</v>
      </c>
      <c r="C240" t="s">
        <v>19</v>
      </c>
      <c r="D240" s="7">
        <f>_xlfn.XLOOKUP(tblOverrideExchangePrices[[#This Row],[product_name]],ref_product[product_name],ref_product[product_key])</f>
        <v>145</v>
      </c>
      <c r="E240">
        <v>0</v>
      </c>
      <c r="F240" s="5">
        <v>0.36499999999999999</v>
      </c>
    </row>
    <row r="241" spans="1:6" x14ac:dyDescent="0.3">
      <c r="A241" t="s">
        <v>7</v>
      </c>
      <c r="B241" s="7">
        <f>_xlfn.XLOOKUP(tblOverrideExchangePrices[[#This Row],[realm_name]],ref_realm[realm_name],ref_realm[realm_key])</f>
        <v>2</v>
      </c>
      <c r="C241" t="s">
        <v>25</v>
      </c>
      <c r="D241" s="7">
        <f>_xlfn.XLOOKUP(tblOverrideExchangePrices[[#This Row],[product_name]],ref_product[product_name],ref_product[product_key])</f>
        <v>120</v>
      </c>
      <c r="E241">
        <v>0</v>
      </c>
      <c r="F241" s="5">
        <v>0.26500000000000001</v>
      </c>
    </row>
    <row r="242" spans="1:6" x14ac:dyDescent="0.3">
      <c r="A242" t="s">
        <v>7</v>
      </c>
      <c r="B242" s="7">
        <f>_xlfn.XLOOKUP(tblOverrideExchangePrices[[#This Row],[realm_name]],ref_realm[realm_name],ref_realm[realm_key])</f>
        <v>2</v>
      </c>
      <c r="C242" t="s">
        <v>27</v>
      </c>
      <c r="D242" s="7">
        <f>_xlfn.XLOOKUP(tblOverrideExchangePrices[[#This Row],[product_name]],ref_product[product_name],ref_product[product_key])</f>
        <v>135</v>
      </c>
      <c r="E242">
        <v>0</v>
      </c>
      <c r="F242" s="5">
        <v>1.42</v>
      </c>
    </row>
    <row r="243" spans="1:6" x14ac:dyDescent="0.3">
      <c r="A243" t="s">
        <v>7</v>
      </c>
      <c r="B243" s="7">
        <f>_xlfn.XLOOKUP(tblOverrideExchangePrices[[#This Row],[realm_name]],ref_realm[realm_name],ref_realm[realm_key])</f>
        <v>2</v>
      </c>
      <c r="C243" t="s">
        <v>28</v>
      </c>
      <c r="D243" s="7">
        <f>_xlfn.XLOOKUP(tblOverrideExchangePrices[[#This Row],[product_name]],ref_product[product_name],ref_product[product_key])</f>
        <v>94</v>
      </c>
      <c r="E243">
        <v>0</v>
      </c>
      <c r="F243" s="5">
        <v>2.4</v>
      </c>
    </row>
    <row r="244" spans="1:6" x14ac:dyDescent="0.3">
      <c r="A244" t="s">
        <v>7</v>
      </c>
      <c r="B244" s="7">
        <f>_xlfn.XLOOKUP(tblOverrideExchangePrices[[#This Row],[realm_name]],ref_realm[realm_name],ref_realm[realm_key])</f>
        <v>2</v>
      </c>
      <c r="C244" t="s">
        <v>26</v>
      </c>
      <c r="D244" s="7">
        <f>_xlfn.XLOOKUP(tblOverrideExchangePrices[[#This Row],[product_name]],ref_product[product_name],ref_product[product_key])</f>
        <v>134</v>
      </c>
      <c r="E244">
        <v>0</v>
      </c>
      <c r="F244" s="5">
        <v>17.399999999999999</v>
      </c>
    </row>
    <row r="245" spans="1:6" x14ac:dyDescent="0.3">
      <c r="A245" t="s">
        <v>7</v>
      </c>
      <c r="B245" s="7">
        <f>_xlfn.XLOOKUP(tblOverrideExchangePrices[[#This Row],[realm_name]],ref_realm[realm_name],ref_realm[realm_key])</f>
        <v>2</v>
      </c>
      <c r="C245" t="s">
        <v>29</v>
      </c>
      <c r="D245" s="7">
        <f>_xlfn.XLOOKUP(tblOverrideExchangePrices[[#This Row],[product_name]],ref_product[product_name],ref_product[product_key])</f>
        <v>93</v>
      </c>
      <c r="E245">
        <v>0</v>
      </c>
      <c r="F245" s="5">
        <v>37.25</v>
      </c>
    </row>
    <row r="246" spans="1:6" x14ac:dyDescent="0.3">
      <c r="A246" t="s">
        <v>7</v>
      </c>
      <c r="B246" s="7">
        <f>_xlfn.XLOOKUP(tblOverrideExchangePrices[[#This Row],[realm_name]],ref_realm[realm_name],ref_realm[realm_key])</f>
        <v>2</v>
      </c>
      <c r="C246" t="s">
        <v>37</v>
      </c>
      <c r="D246" s="7">
        <f>_xlfn.XLOOKUP(tblOverrideExchangePrices[[#This Row],[product_name]],ref_product[product_name],ref_product[product_key])</f>
        <v>139</v>
      </c>
      <c r="E246">
        <v>0</v>
      </c>
      <c r="F246" s="5">
        <v>0.38300000000000001</v>
      </c>
    </row>
    <row r="247" spans="1:6" x14ac:dyDescent="0.3">
      <c r="A247" t="s">
        <v>6</v>
      </c>
      <c r="B247" s="7">
        <f>_xlfn.XLOOKUP(tblOverrideExchangePrices[[#This Row],[realm_name]],ref_realm[realm_name],ref_realm[realm_key])</f>
        <v>1</v>
      </c>
      <c r="C247" t="s">
        <v>37</v>
      </c>
      <c r="D247" s="7">
        <f>_xlfn.XLOOKUP(tblOverrideExchangePrices[[#This Row],[product_name]],ref_product[product_name],ref_product[product_key])</f>
        <v>139</v>
      </c>
      <c r="E247">
        <v>0</v>
      </c>
      <c r="F247" s="5">
        <v>0.379</v>
      </c>
    </row>
    <row r="248" spans="1:6" x14ac:dyDescent="0.3">
      <c r="D248" s="5"/>
    </row>
    <row r="249" spans="1:6" x14ac:dyDescent="0.3">
      <c r="D249" s="5"/>
    </row>
    <row r="250" spans="1:6" x14ac:dyDescent="0.3">
      <c r="D250" s="5"/>
    </row>
    <row r="251" spans="1:6" x14ac:dyDescent="0.3">
      <c r="D251" s="5"/>
    </row>
    <row r="252" spans="1:6" x14ac:dyDescent="0.3">
      <c r="D252" s="5"/>
    </row>
    <row r="253" spans="1:6" x14ac:dyDescent="0.3">
      <c r="D253" s="5"/>
    </row>
    <row r="256" spans="1:6" x14ac:dyDescent="0.3">
      <c r="A256" s="2" t="s">
        <v>4</v>
      </c>
      <c r="B256" s="1"/>
      <c r="C256" s="1"/>
    </row>
    <row r="257" spans="1:6" x14ac:dyDescent="0.3">
      <c r="A257" s="6" t="s">
        <v>250</v>
      </c>
      <c r="B257" s="6" t="s">
        <v>249</v>
      </c>
      <c r="C257" t="s">
        <v>113</v>
      </c>
      <c r="D257" t="s">
        <v>35</v>
      </c>
      <c r="E257" t="s">
        <v>36</v>
      </c>
      <c r="F257" t="s">
        <v>260</v>
      </c>
    </row>
    <row r="258" spans="1:6" x14ac:dyDescent="0.3">
      <c r="A258" t="s">
        <v>7</v>
      </c>
      <c r="B258" s="7">
        <f>_xlfn.XLOOKUP(tblOverrideRetailPrices[[#This Row],[realm_name]],ref_realm[realm_name],ref_realm[realm_key])</f>
        <v>2</v>
      </c>
      <c r="C258" t="s">
        <v>29</v>
      </c>
      <c r="D258" s="7">
        <f>_xlfn.XLOOKUP(tblOverrideRetailPrices[[#This Row],[product_name]],ref_product[product_name],ref_product[product_key])</f>
        <v>93</v>
      </c>
      <c r="E258">
        <v>0</v>
      </c>
      <c r="F258" s="5">
        <v>61.49</v>
      </c>
    </row>
  </sheetData>
  <phoneticPr fontId="2" type="noConversion"/>
  <dataValidations count="14">
    <dataValidation type="whole" operator="greaterThan" allowBlank="1" showInputMessage="1" showErrorMessage="1" prompt="Positive Integer" sqref="A7:A10 G7:G10 E21:E66" xr:uid="{99DA1997-5977-4E70-8A4D-DD9EC087DDFF}">
      <formula1>0</formula1>
    </dataValidation>
    <dataValidation type="decimal" allowBlank="1" showInputMessage="1" showErrorMessage="1" prompt="Fraction" sqref="I7:J10 G75:G119" xr:uid="{B98F4738-E572-4B34-A9FE-9BE4A566A415}">
      <formula1>0</formula1>
      <formula2>1</formula2>
    </dataValidation>
    <dataValidation type="whole" allowBlank="1" showInputMessage="1" showErrorMessage="1" prompt="Positive Integer between 1 and 18" sqref="B21:B66 B75:B119" xr:uid="{3CB2E9DA-3EA1-4020-BBD0-58992A39C12A}">
      <formula1>1</formula1>
      <formula2>18</formula2>
    </dataValidation>
    <dataValidation type="whole" operator="greaterThan" allowBlank="1" showInputMessage="1" showErrorMessage="1" prompt="Positive integer" sqref="A156:A172 A21:A66 A137:A154 A135 A75:A119" xr:uid="{72F5AC10-979A-4743-915B-77064C050564}">
      <formula1>0</formula1>
    </dataValidation>
    <dataValidation type="whole" operator="greaterThanOrEqual" allowBlank="1" showInputMessage="1" showErrorMessage="1" prompt="Non-negative Integer" sqref="E258 D137:E154 D135:E135 C248:C253 E229:E247 D156:E172 E75:E119" xr:uid="{8A7F0B46-EC6F-4348-9CD0-1A4A6AB9B057}">
      <formula1>0</formula1>
    </dataValidation>
    <dataValidation type="decimal" allowBlank="1" showInputMessage="1" showErrorMessage="1" prompt="Fraction between 0 and 1" sqref="J135:J172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135:H172" xr:uid="{699F147C-A98A-4CDA-BC05-72AD964C4511}">
      <formula1>0</formula1>
    </dataValidation>
    <dataValidation type="list" allowBlank="1" showInputMessage="1" showErrorMessage="1" sqref="A229:A247 C6:C10 A258" xr:uid="{DDFBCD6A-1B48-4D8B-B51B-FE71E4187B92}">
      <formula1>nr_RealmNames</formula1>
    </dataValidation>
    <dataValidation type="list" allowBlank="1" showInputMessage="1" showErrorMessage="1" sqref="E187:E188 C20:C66" xr:uid="{130C0361-AF17-48C4-8178-143F0F300132}">
      <formula1>nr_BuildingNames</formula1>
    </dataValidation>
    <dataValidation type="list" allowBlank="1" showInputMessage="1" showErrorMessage="1" sqref="B186:B188 C257:C258 B134:B172 C228:C247 C74:C119" xr:uid="{7BD53720-CFC6-4E50-8FE1-F52A2F15762A}">
      <formula1>nr_ProductNames</formula1>
    </dataValidation>
    <dataValidation type="list" allowBlank="1" showInputMessage="1" showErrorMessage="1" sqref="F134:F172" xr:uid="{48E6661E-8C5C-454A-91FA-9C13173E3C8B}">
      <formula1>nr_ChannelNames</formula1>
    </dataValidation>
    <dataValidation operator="greaterThanOrEqual" allowBlank="1" showErrorMessage="1" sqref="I134:I172" xr:uid="{6E69827F-EAE4-4DD7-9863-2EE71375434A}"/>
    <dataValidation type="list" allowBlank="1" showInputMessage="1" showErrorMessage="1" sqref="E7:E10" xr:uid="{49E307C6-8ED0-40A5-9ABB-A74739BAA347}">
      <formula1>nr_EconomicPhaseNames</formula1>
    </dataValidation>
    <dataValidation operator="greaterThanOrEqual" allowBlank="1" showInputMessage="1" showErrorMessage="1" sqref="F75:F119" xr:uid="{60362AFA-B5FC-427A-AA30-95BA456BBD95}"/>
  </dataValidations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"/>
  <sheetViews>
    <sheetView showGridLines="0" workbookViewId="0"/>
  </sheetViews>
  <sheetFormatPr defaultRowHeight="16.5" x14ac:dyDescent="0.3"/>
  <cols>
    <col min="1" max="1" width="18.62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0CBD0-2BF6-4945-8868-9A7A430FED91}">
  <dimension ref="A1:R8"/>
  <sheetViews>
    <sheetView showGridLines="0" workbookViewId="0">
      <selection activeCell="A9" sqref="A9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.125" bestFit="1" customWidth="1"/>
    <col min="7" max="7" width="16.75" bestFit="1" customWidth="1"/>
    <col min="8" max="8" width="11.625" bestFit="1" customWidth="1"/>
    <col min="9" max="9" width="18.75" bestFit="1" customWidth="1"/>
    <col min="10" max="10" width="20.5" bestFit="1" customWidth="1"/>
    <col min="11" max="11" width="23.625" bestFit="1" customWidth="1"/>
    <col min="12" max="12" width="18.625" bestFit="1" customWidth="1"/>
    <col min="13" max="13" width="16.75" bestFit="1" customWidth="1"/>
    <col min="14" max="14" width="19.25" bestFit="1" customWidth="1"/>
    <col min="15" max="15" width="25.375" bestFit="1" customWidth="1"/>
    <col min="16" max="16" width="21.25" bestFit="1" customWidth="1"/>
    <col min="17" max="17" width="20.125" bestFit="1" customWidth="1"/>
    <col min="18" max="18" width="22" bestFit="1" customWidth="1"/>
  </cols>
  <sheetData>
    <row r="1" spans="1:18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283</v>
      </c>
      <c r="G1" t="s">
        <v>288</v>
      </c>
      <c r="H1" t="s">
        <v>278</v>
      </c>
      <c r="I1" t="s">
        <v>294</v>
      </c>
      <c r="J1" t="s">
        <v>295</v>
      </c>
      <c r="K1" t="s">
        <v>296</v>
      </c>
      <c r="L1" t="s">
        <v>276</v>
      </c>
      <c r="M1" t="s">
        <v>297</v>
      </c>
      <c r="N1" t="s">
        <v>298</v>
      </c>
      <c r="O1" t="s">
        <v>299</v>
      </c>
      <c r="P1" t="s">
        <v>300</v>
      </c>
      <c r="Q1" t="s">
        <v>301</v>
      </c>
      <c r="R1" t="s">
        <v>302</v>
      </c>
    </row>
    <row r="2" spans="1:18" x14ac:dyDescent="0.3">
      <c r="A2">
        <v>3</v>
      </c>
      <c r="B2" t="s">
        <v>308</v>
      </c>
      <c r="C2">
        <v>62</v>
      </c>
      <c r="D2" t="s">
        <v>23</v>
      </c>
      <c r="E2">
        <v>2</v>
      </c>
      <c r="F2" t="s">
        <v>285</v>
      </c>
      <c r="G2" t="s">
        <v>290</v>
      </c>
      <c r="H2" t="s">
        <v>280</v>
      </c>
      <c r="I2" s="10">
        <v>-20589.244600000002</v>
      </c>
      <c r="J2" s="10"/>
      <c r="K2" s="10"/>
      <c r="L2" s="9">
        <v>0</v>
      </c>
      <c r="M2" t="s">
        <v>304</v>
      </c>
      <c r="N2" t="s">
        <v>12</v>
      </c>
      <c r="O2" s="10">
        <v>20589.244600000002</v>
      </c>
      <c r="P2" s="9">
        <v>0.68745390984974963</v>
      </c>
      <c r="Q2" s="11">
        <v>26.394337277523565</v>
      </c>
      <c r="R2" t="s">
        <v>12</v>
      </c>
    </row>
    <row r="3" spans="1:18" x14ac:dyDescent="0.3">
      <c r="A3">
        <v>3</v>
      </c>
      <c r="B3" t="s">
        <v>308</v>
      </c>
      <c r="C3">
        <v>88</v>
      </c>
      <c r="D3" t="s">
        <v>24</v>
      </c>
      <c r="E3">
        <v>2</v>
      </c>
      <c r="F3" t="s">
        <v>285</v>
      </c>
      <c r="G3" t="s">
        <v>290</v>
      </c>
      <c r="H3" t="s">
        <v>280</v>
      </c>
      <c r="I3" s="10">
        <v>-10095.910600000001</v>
      </c>
      <c r="J3" s="10"/>
      <c r="K3" s="10"/>
      <c r="L3" s="9">
        <v>0</v>
      </c>
      <c r="M3" t="s">
        <v>304</v>
      </c>
      <c r="N3" t="s">
        <v>12</v>
      </c>
      <c r="O3" s="10">
        <v>10095.910600000001</v>
      </c>
      <c r="P3" s="9">
        <v>0.50866904477596897</v>
      </c>
      <c r="Q3" s="11">
        <v>12.423456068483185</v>
      </c>
      <c r="R3" t="s">
        <v>12</v>
      </c>
    </row>
    <row r="4" spans="1:18" x14ac:dyDescent="0.3">
      <c r="A4">
        <v>3</v>
      </c>
      <c r="B4" t="s">
        <v>308</v>
      </c>
      <c r="C4">
        <v>116</v>
      </c>
      <c r="D4" t="s">
        <v>34</v>
      </c>
      <c r="E4">
        <v>2</v>
      </c>
      <c r="F4" t="s">
        <v>285</v>
      </c>
      <c r="G4" t="s">
        <v>290</v>
      </c>
      <c r="H4" t="s">
        <v>280</v>
      </c>
      <c r="I4" s="10">
        <v>-1540.2000000000003</v>
      </c>
      <c r="J4" s="10"/>
      <c r="K4" s="10"/>
      <c r="L4" s="9">
        <v>0</v>
      </c>
      <c r="M4" t="s">
        <v>304</v>
      </c>
      <c r="N4" t="s">
        <v>102</v>
      </c>
      <c r="O4" s="10">
        <v>1540.2000000000003</v>
      </c>
      <c r="P4" s="9">
        <v>1</v>
      </c>
      <c r="Q4" s="11"/>
      <c r="R4" t="s">
        <v>305</v>
      </c>
    </row>
    <row r="5" spans="1:18" x14ac:dyDescent="0.3">
      <c r="A5">
        <v>4</v>
      </c>
      <c r="B5" t="s">
        <v>307</v>
      </c>
      <c r="C5">
        <v>93</v>
      </c>
      <c r="D5" t="s">
        <v>29</v>
      </c>
      <c r="E5">
        <v>0</v>
      </c>
      <c r="F5" t="s">
        <v>286</v>
      </c>
      <c r="G5" t="s">
        <v>291</v>
      </c>
      <c r="H5" t="s">
        <v>279</v>
      </c>
      <c r="I5" s="10">
        <v>2193.84</v>
      </c>
      <c r="J5" s="10">
        <v>1981.8556701030927</v>
      </c>
      <c r="K5" s="10">
        <v>211.98432989690718</v>
      </c>
      <c r="L5" s="9">
        <v>0.90337293061622215</v>
      </c>
      <c r="M5" t="s">
        <v>303</v>
      </c>
      <c r="N5" t="s">
        <v>17</v>
      </c>
      <c r="O5" s="10">
        <v>211.98432989690718</v>
      </c>
      <c r="P5" s="9">
        <v>9.6627069383777853E-2</v>
      </c>
      <c r="Q5" s="11">
        <v>1.0696254681647939</v>
      </c>
      <c r="R5" t="s">
        <v>17</v>
      </c>
    </row>
    <row r="6" spans="1:18" x14ac:dyDescent="0.3">
      <c r="A6">
        <v>4</v>
      </c>
      <c r="B6" t="s">
        <v>307</v>
      </c>
      <c r="C6">
        <v>120</v>
      </c>
      <c r="D6" t="s">
        <v>25</v>
      </c>
      <c r="E6">
        <v>0</v>
      </c>
      <c r="F6" t="s">
        <v>285</v>
      </c>
      <c r="G6" t="s">
        <v>290</v>
      </c>
      <c r="H6" t="s">
        <v>280</v>
      </c>
      <c r="I6" s="10">
        <v>-5978.1599999999989</v>
      </c>
      <c r="J6" s="10"/>
      <c r="K6" s="10"/>
      <c r="L6" s="9">
        <v>0</v>
      </c>
      <c r="M6" t="s">
        <v>304</v>
      </c>
      <c r="N6" t="s">
        <v>14</v>
      </c>
      <c r="O6" s="10">
        <v>5978.1599999999989</v>
      </c>
      <c r="P6" s="9">
        <v>0.58332708844633452</v>
      </c>
      <c r="Q6" s="11">
        <v>2.7999280599799907</v>
      </c>
      <c r="R6" t="s">
        <v>14</v>
      </c>
    </row>
    <row r="7" spans="1:18" x14ac:dyDescent="0.3">
      <c r="A7">
        <v>4</v>
      </c>
      <c r="B7" t="s">
        <v>307</v>
      </c>
      <c r="C7">
        <v>94</v>
      </c>
      <c r="D7" t="s">
        <v>28</v>
      </c>
      <c r="E7">
        <v>0</v>
      </c>
      <c r="F7" t="s">
        <v>285</v>
      </c>
      <c r="G7" t="s">
        <v>290</v>
      </c>
      <c r="H7" t="s">
        <v>280</v>
      </c>
      <c r="I7" s="10">
        <v>-3826.4159999999993</v>
      </c>
      <c r="J7" s="10"/>
      <c r="K7" s="10"/>
      <c r="L7" s="9">
        <v>0</v>
      </c>
      <c r="M7" t="s">
        <v>304</v>
      </c>
      <c r="N7" t="s">
        <v>14</v>
      </c>
      <c r="O7" s="10">
        <v>3826.4159999999993</v>
      </c>
      <c r="P7" s="9">
        <v>0.34883273164861611</v>
      </c>
      <c r="Q7" s="11">
        <v>1.0714074512123002</v>
      </c>
      <c r="R7" t="s">
        <v>14</v>
      </c>
    </row>
    <row r="8" spans="1:18" x14ac:dyDescent="0.3">
      <c r="A8">
        <v>4</v>
      </c>
      <c r="B8" t="s">
        <v>307</v>
      </c>
      <c r="C8">
        <v>134</v>
      </c>
      <c r="D8" t="s">
        <v>26</v>
      </c>
      <c r="E8">
        <v>0</v>
      </c>
      <c r="F8" t="s">
        <v>285</v>
      </c>
      <c r="G8" t="s">
        <v>290</v>
      </c>
      <c r="H8" t="s">
        <v>280</v>
      </c>
      <c r="I8" s="10">
        <v>-210</v>
      </c>
      <c r="J8" s="10"/>
      <c r="K8" s="10"/>
      <c r="L8" s="9">
        <v>0</v>
      </c>
      <c r="M8" t="s">
        <v>304</v>
      </c>
      <c r="N8" t="s">
        <v>15</v>
      </c>
      <c r="O8" s="10">
        <v>210</v>
      </c>
      <c r="P8" s="9">
        <v>9.5722568646756379E-2</v>
      </c>
      <c r="Q8" s="11">
        <v>0.21171062182434069</v>
      </c>
      <c r="R8" t="s">
        <v>15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5E81-06E2-4586-92FB-5A4002D6EC48}">
  <dimension ref="A1:G18"/>
  <sheetViews>
    <sheetView showGridLines="0" workbookViewId="0">
      <selection activeCell="G7" sqref="G7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6.75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288</v>
      </c>
    </row>
    <row r="2" spans="1:7" x14ac:dyDescent="0.3">
      <c r="A2">
        <v>3</v>
      </c>
      <c r="B2" t="s">
        <v>308</v>
      </c>
      <c r="C2">
        <v>10</v>
      </c>
      <c r="D2" t="s">
        <v>20</v>
      </c>
      <c r="E2">
        <v>2</v>
      </c>
      <c r="F2">
        <v>17</v>
      </c>
      <c r="G2" t="s">
        <v>289</v>
      </c>
    </row>
    <row r="3" spans="1:7" x14ac:dyDescent="0.3">
      <c r="A3">
        <v>3</v>
      </c>
      <c r="B3" t="s">
        <v>308</v>
      </c>
      <c r="C3">
        <v>23</v>
      </c>
      <c r="D3" t="s">
        <v>21</v>
      </c>
      <c r="E3">
        <v>2</v>
      </c>
      <c r="F3">
        <v>19</v>
      </c>
      <c r="G3" t="s">
        <v>289</v>
      </c>
    </row>
    <row r="4" spans="1:7" x14ac:dyDescent="0.3">
      <c r="A4">
        <v>3</v>
      </c>
      <c r="B4" t="s">
        <v>308</v>
      </c>
      <c r="C4">
        <v>62</v>
      </c>
      <c r="D4" t="s">
        <v>23</v>
      </c>
      <c r="E4">
        <v>2</v>
      </c>
      <c r="F4">
        <v>36</v>
      </c>
      <c r="G4" t="s">
        <v>290</v>
      </c>
    </row>
    <row r="5" spans="1:7" x14ac:dyDescent="0.3">
      <c r="A5">
        <v>3</v>
      </c>
      <c r="B5" t="s">
        <v>308</v>
      </c>
      <c r="C5">
        <v>63</v>
      </c>
      <c r="D5" t="s">
        <v>33</v>
      </c>
      <c r="E5">
        <v>2</v>
      </c>
      <c r="F5">
        <v>19</v>
      </c>
      <c r="G5" t="s">
        <v>289</v>
      </c>
    </row>
    <row r="6" spans="1:7" x14ac:dyDescent="0.3">
      <c r="A6">
        <v>3</v>
      </c>
      <c r="B6" t="s">
        <v>308</v>
      </c>
      <c r="C6">
        <v>69</v>
      </c>
      <c r="D6" t="s">
        <v>31</v>
      </c>
      <c r="E6">
        <v>2</v>
      </c>
      <c r="F6">
        <v>17</v>
      </c>
      <c r="G6" t="s">
        <v>289</v>
      </c>
    </row>
    <row r="7" spans="1:7" x14ac:dyDescent="0.3">
      <c r="A7">
        <v>3</v>
      </c>
      <c r="B7" t="s">
        <v>308</v>
      </c>
      <c r="C7">
        <v>88</v>
      </c>
      <c r="D7" t="s">
        <v>24</v>
      </c>
      <c r="E7">
        <v>2</v>
      </c>
      <c r="F7">
        <v>36</v>
      </c>
      <c r="G7" t="s">
        <v>290</v>
      </c>
    </row>
    <row r="8" spans="1:7" x14ac:dyDescent="0.3">
      <c r="A8">
        <v>3</v>
      </c>
      <c r="B8" t="s">
        <v>308</v>
      </c>
      <c r="C8">
        <v>102</v>
      </c>
      <c r="D8" t="s">
        <v>18</v>
      </c>
      <c r="E8">
        <v>2</v>
      </c>
      <c r="F8">
        <v>41</v>
      </c>
      <c r="G8" t="s">
        <v>289</v>
      </c>
    </row>
    <row r="9" spans="1:7" x14ac:dyDescent="0.3">
      <c r="A9">
        <v>3</v>
      </c>
      <c r="B9" t="s">
        <v>308</v>
      </c>
      <c r="C9">
        <v>116</v>
      </c>
      <c r="D9" t="s">
        <v>34</v>
      </c>
      <c r="E9">
        <v>2</v>
      </c>
      <c r="F9">
        <v>43</v>
      </c>
      <c r="G9" t="s">
        <v>290</v>
      </c>
    </row>
    <row r="10" spans="1:7" x14ac:dyDescent="0.3">
      <c r="A10">
        <v>3</v>
      </c>
      <c r="B10" t="s">
        <v>308</v>
      </c>
      <c r="C10">
        <v>121</v>
      </c>
      <c r="D10" t="s">
        <v>22</v>
      </c>
      <c r="E10">
        <v>2</v>
      </c>
      <c r="F10">
        <v>19</v>
      </c>
      <c r="G10" t="s">
        <v>289</v>
      </c>
    </row>
    <row r="11" spans="1:7" x14ac:dyDescent="0.3">
      <c r="A11">
        <v>3</v>
      </c>
      <c r="B11" t="s">
        <v>308</v>
      </c>
      <c r="C11">
        <v>145</v>
      </c>
      <c r="D11" t="s">
        <v>19</v>
      </c>
      <c r="E11">
        <v>2</v>
      </c>
      <c r="F11">
        <v>53</v>
      </c>
      <c r="G11" t="s">
        <v>289</v>
      </c>
    </row>
    <row r="12" spans="1:7" x14ac:dyDescent="0.3">
      <c r="A12">
        <v>4</v>
      </c>
      <c r="B12" t="s">
        <v>307</v>
      </c>
      <c r="C12">
        <v>93</v>
      </c>
      <c r="D12" t="s">
        <v>29</v>
      </c>
      <c r="E12">
        <v>0</v>
      </c>
      <c r="F12">
        <v>8</v>
      </c>
      <c r="G12" t="s">
        <v>291</v>
      </c>
    </row>
    <row r="13" spans="1:7" x14ac:dyDescent="0.3">
      <c r="A13">
        <v>4</v>
      </c>
      <c r="B13" t="s">
        <v>307</v>
      </c>
      <c r="C13">
        <v>94</v>
      </c>
      <c r="D13" t="s">
        <v>28</v>
      </c>
      <c r="E13">
        <v>0</v>
      </c>
      <c r="F13">
        <v>20</v>
      </c>
      <c r="G13" t="s">
        <v>290</v>
      </c>
    </row>
    <row r="14" spans="1:7" x14ac:dyDescent="0.3">
      <c r="A14">
        <v>4</v>
      </c>
      <c r="B14" t="s">
        <v>307</v>
      </c>
      <c r="C14">
        <v>102</v>
      </c>
      <c r="D14" t="s">
        <v>18</v>
      </c>
      <c r="E14">
        <v>0</v>
      </c>
      <c r="F14">
        <v>41</v>
      </c>
      <c r="G14" t="s">
        <v>289</v>
      </c>
    </row>
    <row r="15" spans="1:7" x14ac:dyDescent="0.3">
      <c r="A15">
        <v>4</v>
      </c>
      <c r="B15" t="s">
        <v>307</v>
      </c>
      <c r="C15">
        <v>120</v>
      </c>
      <c r="D15" t="s">
        <v>25</v>
      </c>
      <c r="E15">
        <v>0</v>
      </c>
      <c r="F15">
        <v>20</v>
      </c>
      <c r="G15" t="s">
        <v>290</v>
      </c>
    </row>
    <row r="16" spans="1:7" x14ac:dyDescent="0.3">
      <c r="A16">
        <v>4</v>
      </c>
      <c r="B16" t="s">
        <v>307</v>
      </c>
      <c r="C16">
        <v>134</v>
      </c>
      <c r="D16" t="s">
        <v>26</v>
      </c>
      <c r="E16">
        <v>0</v>
      </c>
      <c r="F16">
        <v>24</v>
      </c>
      <c r="G16" t="s">
        <v>290</v>
      </c>
    </row>
    <row r="17" spans="1:7" x14ac:dyDescent="0.3">
      <c r="A17">
        <v>4</v>
      </c>
      <c r="B17" t="s">
        <v>307</v>
      </c>
      <c r="C17">
        <v>135</v>
      </c>
      <c r="D17" t="s">
        <v>27</v>
      </c>
      <c r="E17">
        <v>0</v>
      </c>
      <c r="F17">
        <v>20</v>
      </c>
      <c r="G17" t="s">
        <v>289</v>
      </c>
    </row>
    <row r="18" spans="1:7" x14ac:dyDescent="0.3">
      <c r="A18">
        <v>4</v>
      </c>
      <c r="B18" t="s">
        <v>307</v>
      </c>
      <c r="C18">
        <v>145</v>
      </c>
      <c r="D18" t="s">
        <v>19</v>
      </c>
      <c r="E18">
        <v>0</v>
      </c>
      <c r="F18">
        <v>53</v>
      </c>
      <c r="G18" t="s">
        <v>289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E67F-FDFB-45EC-91A2-CEDE4C4D7D23}">
  <dimension ref="A1:J2"/>
  <sheetViews>
    <sheetView showGridLines="0" workbookViewId="0">
      <selection activeCell="F4" sqref="F4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3.5" bestFit="1" customWidth="1"/>
    <col min="10" max="10" width="24.25" bestFit="1" customWidth="1"/>
  </cols>
  <sheetData>
    <row r="1" spans="1:10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287</v>
      </c>
      <c r="J1" t="s">
        <v>273</v>
      </c>
    </row>
    <row r="2" spans="1:10" x14ac:dyDescent="0.3">
      <c r="A2">
        <v>4</v>
      </c>
      <c r="B2" t="s">
        <v>307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0</v>
      </c>
      <c r="J2">
        <v>82.577319587628864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D6E6-CD14-4C9E-A87A-7324E5253BBE}">
  <dimension ref="A1:G18"/>
  <sheetViews>
    <sheetView showGridLines="0" workbookViewId="0">
      <selection activeCell="B21" sqref="B21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20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283</v>
      </c>
    </row>
    <row r="2" spans="1:7" x14ac:dyDescent="0.3">
      <c r="A2">
        <v>3</v>
      </c>
      <c r="B2" t="s">
        <v>308</v>
      </c>
      <c r="C2">
        <v>10</v>
      </c>
      <c r="D2" t="s">
        <v>20</v>
      </c>
      <c r="E2">
        <v>2</v>
      </c>
      <c r="F2">
        <v>17</v>
      </c>
      <c r="G2" t="s">
        <v>284</v>
      </c>
    </row>
    <row r="3" spans="1:7" x14ac:dyDescent="0.3">
      <c r="A3">
        <v>3</v>
      </c>
      <c r="B3" t="s">
        <v>308</v>
      </c>
      <c r="C3">
        <v>23</v>
      </c>
      <c r="D3" t="s">
        <v>21</v>
      </c>
      <c r="E3">
        <v>2</v>
      </c>
      <c r="F3">
        <v>19</v>
      </c>
      <c r="G3" t="s">
        <v>285</v>
      </c>
    </row>
    <row r="4" spans="1:7" x14ac:dyDescent="0.3">
      <c r="A4">
        <v>3</v>
      </c>
      <c r="B4" t="s">
        <v>308</v>
      </c>
      <c r="C4">
        <v>62</v>
      </c>
      <c r="D4" t="s">
        <v>23</v>
      </c>
      <c r="E4">
        <v>2</v>
      </c>
      <c r="F4">
        <v>36</v>
      </c>
      <c r="G4" t="s">
        <v>285</v>
      </c>
    </row>
    <row r="5" spans="1:7" x14ac:dyDescent="0.3">
      <c r="A5">
        <v>3</v>
      </c>
      <c r="B5" t="s">
        <v>308</v>
      </c>
      <c r="C5">
        <v>63</v>
      </c>
      <c r="D5" t="s">
        <v>33</v>
      </c>
      <c r="E5">
        <v>2</v>
      </c>
      <c r="F5">
        <v>19</v>
      </c>
      <c r="G5" t="s">
        <v>285</v>
      </c>
    </row>
    <row r="6" spans="1:7" x14ac:dyDescent="0.3">
      <c r="A6">
        <v>3</v>
      </c>
      <c r="B6" t="s">
        <v>308</v>
      </c>
      <c r="C6">
        <v>69</v>
      </c>
      <c r="D6" t="s">
        <v>31</v>
      </c>
      <c r="E6">
        <v>2</v>
      </c>
      <c r="F6">
        <v>17</v>
      </c>
      <c r="G6" t="s">
        <v>284</v>
      </c>
    </row>
    <row r="7" spans="1:7" x14ac:dyDescent="0.3">
      <c r="A7">
        <v>3</v>
      </c>
      <c r="B7" t="s">
        <v>308</v>
      </c>
      <c r="C7">
        <v>88</v>
      </c>
      <c r="D7" t="s">
        <v>24</v>
      </c>
      <c r="E7">
        <v>2</v>
      </c>
      <c r="F7">
        <v>36</v>
      </c>
      <c r="G7" t="s">
        <v>285</v>
      </c>
    </row>
    <row r="8" spans="1:7" x14ac:dyDescent="0.3">
      <c r="A8">
        <v>3</v>
      </c>
      <c r="B8" t="s">
        <v>308</v>
      </c>
      <c r="C8">
        <v>102</v>
      </c>
      <c r="D8" t="s">
        <v>18</v>
      </c>
      <c r="E8">
        <v>2</v>
      </c>
      <c r="F8">
        <v>41</v>
      </c>
      <c r="G8" t="s">
        <v>285</v>
      </c>
    </row>
    <row r="9" spans="1:7" x14ac:dyDescent="0.3">
      <c r="A9">
        <v>3</v>
      </c>
      <c r="B9" t="s">
        <v>308</v>
      </c>
      <c r="C9">
        <v>116</v>
      </c>
      <c r="D9" t="s">
        <v>34</v>
      </c>
      <c r="E9">
        <v>2</v>
      </c>
      <c r="F9">
        <v>43</v>
      </c>
      <c r="G9" t="s">
        <v>285</v>
      </c>
    </row>
    <row r="10" spans="1:7" x14ac:dyDescent="0.3">
      <c r="A10">
        <v>3</v>
      </c>
      <c r="B10" t="s">
        <v>308</v>
      </c>
      <c r="C10">
        <v>121</v>
      </c>
      <c r="D10" t="s">
        <v>22</v>
      </c>
      <c r="E10">
        <v>2</v>
      </c>
      <c r="F10">
        <v>19</v>
      </c>
      <c r="G10" t="s">
        <v>285</v>
      </c>
    </row>
    <row r="11" spans="1:7" x14ac:dyDescent="0.3">
      <c r="A11">
        <v>3</v>
      </c>
      <c r="B11" t="s">
        <v>308</v>
      </c>
      <c r="C11">
        <v>145</v>
      </c>
      <c r="D11" t="s">
        <v>19</v>
      </c>
      <c r="E11">
        <v>2</v>
      </c>
      <c r="F11">
        <v>53</v>
      </c>
      <c r="G11" t="s">
        <v>285</v>
      </c>
    </row>
    <row r="12" spans="1:7" x14ac:dyDescent="0.3">
      <c r="A12">
        <v>4</v>
      </c>
      <c r="B12" t="s">
        <v>307</v>
      </c>
      <c r="C12">
        <v>93</v>
      </c>
      <c r="D12" t="s">
        <v>29</v>
      </c>
      <c r="E12">
        <v>0</v>
      </c>
      <c r="F12">
        <v>8</v>
      </c>
      <c r="G12" t="s">
        <v>286</v>
      </c>
    </row>
    <row r="13" spans="1:7" x14ac:dyDescent="0.3">
      <c r="A13">
        <v>4</v>
      </c>
      <c r="B13" t="s">
        <v>307</v>
      </c>
      <c r="C13">
        <v>94</v>
      </c>
      <c r="D13" t="s">
        <v>28</v>
      </c>
      <c r="E13">
        <v>0</v>
      </c>
      <c r="F13">
        <v>20</v>
      </c>
      <c r="G13" t="s">
        <v>285</v>
      </c>
    </row>
    <row r="14" spans="1:7" x14ac:dyDescent="0.3">
      <c r="A14">
        <v>4</v>
      </c>
      <c r="B14" t="s">
        <v>307</v>
      </c>
      <c r="C14">
        <v>102</v>
      </c>
      <c r="D14" t="s">
        <v>18</v>
      </c>
      <c r="E14">
        <v>0</v>
      </c>
      <c r="F14">
        <v>41</v>
      </c>
      <c r="G14" t="s">
        <v>285</v>
      </c>
    </row>
    <row r="15" spans="1:7" x14ac:dyDescent="0.3">
      <c r="A15">
        <v>4</v>
      </c>
      <c r="B15" t="s">
        <v>307</v>
      </c>
      <c r="C15">
        <v>120</v>
      </c>
      <c r="D15" t="s">
        <v>25</v>
      </c>
      <c r="E15">
        <v>0</v>
      </c>
      <c r="F15">
        <v>20</v>
      </c>
      <c r="G15" t="s">
        <v>285</v>
      </c>
    </row>
    <row r="16" spans="1:7" x14ac:dyDescent="0.3">
      <c r="A16">
        <v>4</v>
      </c>
      <c r="B16" t="s">
        <v>307</v>
      </c>
      <c r="C16">
        <v>134</v>
      </c>
      <c r="D16" t="s">
        <v>26</v>
      </c>
      <c r="E16">
        <v>0</v>
      </c>
      <c r="F16">
        <v>24</v>
      </c>
      <c r="G16" t="s">
        <v>285</v>
      </c>
    </row>
    <row r="17" spans="1:7" x14ac:dyDescent="0.3">
      <c r="A17">
        <v>4</v>
      </c>
      <c r="B17" t="s">
        <v>307</v>
      </c>
      <c r="C17">
        <v>135</v>
      </c>
      <c r="D17" t="s">
        <v>27</v>
      </c>
      <c r="E17">
        <v>0</v>
      </c>
      <c r="F17">
        <v>20</v>
      </c>
      <c r="G17" t="s">
        <v>285</v>
      </c>
    </row>
    <row r="18" spans="1:7" x14ac:dyDescent="0.3">
      <c r="A18">
        <v>4</v>
      </c>
      <c r="B18" t="s">
        <v>307</v>
      </c>
      <c r="C18">
        <v>145</v>
      </c>
      <c r="D18" t="s">
        <v>19</v>
      </c>
      <c r="E18">
        <v>0</v>
      </c>
      <c r="F18">
        <v>53</v>
      </c>
      <c r="G18" t="s">
        <v>285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A5601-EB28-4C36-B750-2F1138591EEB}">
  <dimension ref="A1:G18"/>
  <sheetViews>
    <sheetView showGridLines="0" workbookViewId="0">
      <selection activeCell="A2" sqref="A2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1.625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278</v>
      </c>
    </row>
    <row r="2" spans="1:7" x14ac:dyDescent="0.3">
      <c r="A2">
        <v>3</v>
      </c>
      <c r="B2" t="s">
        <v>308</v>
      </c>
      <c r="C2">
        <v>10</v>
      </c>
      <c r="D2" t="s">
        <v>20</v>
      </c>
      <c r="E2">
        <v>2</v>
      </c>
      <c r="F2">
        <v>17</v>
      </c>
      <c r="G2" t="s">
        <v>279</v>
      </c>
    </row>
    <row r="3" spans="1:7" x14ac:dyDescent="0.3">
      <c r="A3">
        <v>3</v>
      </c>
      <c r="B3" t="s">
        <v>308</v>
      </c>
      <c r="C3">
        <v>23</v>
      </c>
      <c r="D3" t="s">
        <v>21</v>
      </c>
      <c r="E3">
        <v>2</v>
      </c>
      <c r="F3">
        <v>19</v>
      </c>
      <c r="G3" t="s">
        <v>279</v>
      </c>
    </row>
    <row r="4" spans="1:7" x14ac:dyDescent="0.3">
      <c r="A4">
        <v>3</v>
      </c>
      <c r="B4" t="s">
        <v>308</v>
      </c>
      <c r="C4">
        <v>62</v>
      </c>
      <c r="D4" t="s">
        <v>23</v>
      </c>
      <c r="E4">
        <v>2</v>
      </c>
      <c r="F4">
        <v>36</v>
      </c>
      <c r="G4" t="s">
        <v>280</v>
      </c>
    </row>
    <row r="5" spans="1:7" x14ac:dyDescent="0.3">
      <c r="A5">
        <v>3</v>
      </c>
      <c r="B5" t="s">
        <v>308</v>
      </c>
      <c r="C5">
        <v>63</v>
      </c>
      <c r="D5" t="s">
        <v>33</v>
      </c>
      <c r="E5">
        <v>2</v>
      </c>
      <c r="F5">
        <v>19</v>
      </c>
      <c r="G5" t="s">
        <v>279</v>
      </c>
    </row>
    <row r="6" spans="1:7" x14ac:dyDescent="0.3">
      <c r="A6">
        <v>3</v>
      </c>
      <c r="B6" t="s">
        <v>308</v>
      </c>
      <c r="C6">
        <v>69</v>
      </c>
      <c r="D6" t="s">
        <v>31</v>
      </c>
      <c r="E6">
        <v>2</v>
      </c>
      <c r="F6">
        <v>17</v>
      </c>
      <c r="G6" t="s">
        <v>279</v>
      </c>
    </row>
    <row r="7" spans="1:7" x14ac:dyDescent="0.3">
      <c r="A7">
        <v>3</v>
      </c>
      <c r="B7" t="s">
        <v>308</v>
      </c>
      <c r="C7">
        <v>88</v>
      </c>
      <c r="D7" t="s">
        <v>24</v>
      </c>
      <c r="E7">
        <v>2</v>
      </c>
      <c r="F7">
        <v>36</v>
      </c>
      <c r="G7" t="s">
        <v>280</v>
      </c>
    </row>
    <row r="8" spans="1:7" x14ac:dyDescent="0.3">
      <c r="A8">
        <v>3</v>
      </c>
      <c r="B8" t="s">
        <v>308</v>
      </c>
      <c r="C8">
        <v>102</v>
      </c>
      <c r="D8" t="s">
        <v>18</v>
      </c>
      <c r="E8">
        <v>2</v>
      </c>
      <c r="F8">
        <v>41</v>
      </c>
      <c r="G8" t="s">
        <v>279</v>
      </c>
    </row>
    <row r="9" spans="1:7" x14ac:dyDescent="0.3">
      <c r="A9">
        <v>3</v>
      </c>
      <c r="B9" t="s">
        <v>308</v>
      </c>
      <c r="C9">
        <v>116</v>
      </c>
      <c r="D9" t="s">
        <v>34</v>
      </c>
      <c r="E9">
        <v>2</v>
      </c>
      <c r="F9">
        <v>43</v>
      </c>
      <c r="G9" t="s">
        <v>280</v>
      </c>
    </row>
    <row r="10" spans="1:7" x14ac:dyDescent="0.3">
      <c r="A10">
        <v>3</v>
      </c>
      <c r="B10" t="s">
        <v>308</v>
      </c>
      <c r="C10">
        <v>121</v>
      </c>
      <c r="D10" t="s">
        <v>22</v>
      </c>
      <c r="E10">
        <v>2</v>
      </c>
      <c r="F10">
        <v>19</v>
      </c>
      <c r="G10" t="s">
        <v>279</v>
      </c>
    </row>
    <row r="11" spans="1:7" x14ac:dyDescent="0.3">
      <c r="A11">
        <v>3</v>
      </c>
      <c r="B11" t="s">
        <v>308</v>
      </c>
      <c r="C11">
        <v>145</v>
      </c>
      <c r="D11" t="s">
        <v>19</v>
      </c>
      <c r="E11">
        <v>2</v>
      </c>
      <c r="F11">
        <v>53</v>
      </c>
      <c r="G11" t="s">
        <v>279</v>
      </c>
    </row>
    <row r="12" spans="1:7" x14ac:dyDescent="0.3">
      <c r="A12">
        <v>4</v>
      </c>
      <c r="B12" t="s">
        <v>307</v>
      </c>
      <c r="C12">
        <v>93</v>
      </c>
      <c r="D12" t="s">
        <v>29</v>
      </c>
      <c r="E12">
        <v>0</v>
      </c>
      <c r="F12">
        <v>8</v>
      </c>
      <c r="G12" t="s">
        <v>279</v>
      </c>
    </row>
    <row r="13" spans="1:7" x14ac:dyDescent="0.3">
      <c r="A13">
        <v>4</v>
      </c>
      <c r="B13" t="s">
        <v>307</v>
      </c>
      <c r="C13">
        <v>94</v>
      </c>
      <c r="D13" t="s">
        <v>28</v>
      </c>
      <c r="E13">
        <v>0</v>
      </c>
      <c r="F13">
        <v>20</v>
      </c>
      <c r="G13" t="s">
        <v>280</v>
      </c>
    </row>
    <row r="14" spans="1:7" x14ac:dyDescent="0.3">
      <c r="A14">
        <v>4</v>
      </c>
      <c r="B14" t="s">
        <v>307</v>
      </c>
      <c r="C14">
        <v>102</v>
      </c>
      <c r="D14" t="s">
        <v>18</v>
      </c>
      <c r="E14">
        <v>0</v>
      </c>
      <c r="F14">
        <v>41</v>
      </c>
      <c r="G14" t="s">
        <v>279</v>
      </c>
    </row>
    <row r="15" spans="1:7" x14ac:dyDescent="0.3">
      <c r="A15">
        <v>4</v>
      </c>
      <c r="B15" t="s">
        <v>307</v>
      </c>
      <c r="C15">
        <v>120</v>
      </c>
      <c r="D15" t="s">
        <v>25</v>
      </c>
      <c r="E15">
        <v>0</v>
      </c>
      <c r="F15">
        <v>20</v>
      </c>
      <c r="G15" t="s">
        <v>280</v>
      </c>
    </row>
    <row r="16" spans="1:7" x14ac:dyDescent="0.3">
      <c r="A16">
        <v>4</v>
      </c>
      <c r="B16" t="s">
        <v>307</v>
      </c>
      <c r="C16">
        <v>134</v>
      </c>
      <c r="D16" t="s">
        <v>26</v>
      </c>
      <c r="E16">
        <v>0</v>
      </c>
      <c r="F16">
        <v>24</v>
      </c>
      <c r="G16" t="s">
        <v>280</v>
      </c>
    </row>
    <row r="17" spans="1:7" x14ac:dyDescent="0.3">
      <c r="A17">
        <v>4</v>
      </c>
      <c r="B17" t="s">
        <v>307</v>
      </c>
      <c r="C17">
        <v>135</v>
      </c>
      <c r="D17" t="s">
        <v>27</v>
      </c>
      <c r="E17">
        <v>0</v>
      </c>
      <c r="F17">
        <v>20</v>
      </c>
      <c r="G17" t="s">
        <v>279</v>
      </c>
    </row>
    <row r="18" spans="1:7" x14ac:dyDescent="0.3">
      <c r="A18">
        <v>4</v>
      </c>
      <c r="B18" t="s">
        <v>307</v>
      </c>
      <c r="C18">
        <v>145</v>
      </c>
      <c r="D18" t="s">
        <v>19</v>
      </c>
      <c r="E18">
        <v>0</v>
      </c>
      <c r="F18">
        <v>53</v>
      </c>
      <c r="G18" t="s">
        <v>279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O18"/>
  <sheetViews>
    <sheetView showGridLines="0" workbookViewId="0">
      <selection activeCell="F13" sqref="F13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21.125" bestFit="1" customWidth="1"/>
    <col min="7" max="7" width="21.5" bestFit="1" customWidth="1"/>
    <col min="8" max="8" width="25.75" bestFit="1" customWidth="1"/>
    <col min="9" max="9" width="29.875" bestFit="1" customWidth="1"/>
    <col min="10" max="10" width="22.875" bestFit="1" customWidth="1"/>
    <col min="11" max="11" width="18.625" bestFit="1" customWidth="1"/>
    <col min="12" max="12" width="25.75" customWidth="1"/>
    <col min="13" max="13" width="16.875" bestFit="1" customWidth="1"/>
    <col min="14" max="14" width="11.875" bestFit="1" customWidth="1"/>
    <col min="15" max="15" width="15.375" bestFit="1" customWidth="1"/>
    <col min="16" max="17" width="18.625" bestFit="1" customWidth="1"/>
    <col min="18" max="18" width="18.625" customWidth="1"/>
  </cols>
  <sheetData>
    <row r="1" spans="1:15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48</v>
      </c>
      <c r="G1" t="s">
        <v>47</v>
      </c>
      <c r="H1" t="s">
        <v>46</v>
      </c>
      <c r="I1" t="s">
        <v>275</v>
      </c>
      <c r="J1" t="s">
        <v>282</v>
      </c>
      <c r="K1" t="s">
        <v>276</v>
      </c>
      <c r="L1" t="s">
        <v>277</v>
      </c>
      <c r="M1" t="s">
        <v>45</v>
      </c>
      <c r="N1" t="s">
        <v>292</v>
      </c>
      <c r="O1" t="s">
        <v>293</v>
      </c>
    </row>
    <row r="2" spans="1:15" x14ac:dyDescent="0.3">
      <c r="A2">
        <v>3</v>
      </c>
      <c r="B2" t="s">
        <v>308</v>
      </c>
      <c r="C2">
        <v>10</v>
      </c>
      <c r="D2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K2" s="9">
        <v>0</v>
      </c>
      <c r="L2" s="9"/>
      <c r="M2" t="b">
        <v>0</v>
      </c>
      <c r="N2">
        <v>0</v>
      </c>
      <c r="O2">
        <v>1</v>
      </c>
    </row>
    <row r="3" spans="1:15" x14ac:dyDescent="0.3">
      <c r="A3">
        <v>3</v>
      </c>
      <c r="B3" t="s">
        <v>308</v>
      </c>
      <c r="C3">
        <v>23</v>
      </c>
      <c r="D3" t="s">
        <v>21</v>
      </c>
      <c r="E3">
        <v>2</v>
      </c>
      <c r="F3">
        <v>765.73750000000007</v>
      </c>
      <c r="G3">
        <v>0</v>
      </c>
      <c r="H3">
        <v>765.73750000000007</v>
      </c>
      <c r="I3">
        <v>0</v>
      </c>
      <c r="K3" s="9">
        <v>0</v>
      </c>
      <c r="L3" s="9"/>
      <c r="M3" t="b">
        <v>0</v>
      </c>
      <c r="N3">
        <v>0</v>
      </c>
      <c r="O3">
        <v>1</v>
      </c>
    </row>
    <row r="4" spans="1:15" x14ac:dyDescent="0.3">
      <c r="A4">
        <v>3</v>
      </c>
      <c r="B4" t="s">
        <v>308</v>
      </c>
      <c r="C4">
        <v>62</v>
      </c>
      <c r="D4" t="s">
        <v>23</v>
      </c>
      <c r="E4">
        <v>2</v>
      </c>
      <c r="F4">
        <v>857.88519166666674</v>
      </c>
      <c r="G4">
        <v>0</v>
      </c>
      <c r="H4">
        <v>857.88519166666674</v>
      </c>
      <c r="I4">
        <v>0</v>
      </c>
      <c r="K4" s="9">
        <v>0</v>
      </c>
      <c r="L4" s="9"/>
      <c r="M4" t="b">
        <v>0</v>
      </c>
      <c r="N4">
        <v>0</v>
      </c>
      <c r="O4">
        <v>1</v>
      </c>
    </row>
    <row r="5" spans="1:15" x14ac:dyDescent="0.3">
      <c r="A5">
        <v>3</v>
      </c>
      <c r="B5" t="s">
        <v>308</v>
      </c>
      <c r="C5">
        <v>63</v>
      </c>
      <c r="D5" t="s">
        <v>33</v>
      </c>
      <c r="E5">
        <v>2</v>
      </c>
      <c r="F5">
        <v>6.0598958333333339</v>
      </c>
      <c r="G5">
        <v>0</v>
      </c>
      <c r="H5">
        <v>6.0598958333333339</v>
      </c>
      <c r="I5">
        <v>0</v>
      </c>
      <c r="K5" s="9">
        <v>0</v>
      </c>
      <c r="L5" s="9"/>
      <c r="M5" t="b">
        <v>0</v>
      </c>
      <c r="N5">
        <v>0</v>
      </c>
      <c r="O5">
        <v>1</v>
      </c>
    </row>
    <row r="6" spans="1:15" x14ac:dyDescent="0.3">
      <c r="A6">
        <v>3</v>
      </c>
      <c r="B6" t="s">
        <v>308</v>
      </c>
      <c r="C6">
        <v>69</v>
      </c>
      <c r="D6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K6" s="9">
        <v>0</v>
      </c>
      <c r="L6" s="9"/>
      <c r="M6" t="b">
        <v>0</v>
      </c>
      <c r="N6">
        <v>0</v>
      </c>
      <c r="O6">
        <v>1</v>
      </c>
    </row>
    <row r="7" spans="1:15" x14ac:dyDescent="0.3">
      <c r="A7">
        <v>3</v>
      </c>
      <c r="B7" t="s">
        <v>308</v>
      </c>
      <c r="C7">
        <v>88</v>
      </c>
      <c r="D7" t="s">
        <v>24</v>
      </c>
      <c r="E7">
        <v>2</v>
      </c>
      <c r="F7">
        <v>420.66294166666671</v>
      </c>
      <c r="G7">
        <v>0</v>
      </c>
      <c r="H7">
        <v>420.66294166666671</v>
      </c>
      <c r="I7">
        <v>0</v>
      </c>
      <c r="K7" s="9">
        <v>0</v>
      </c>
      <c r="L7" s="9"/>
      <c r="M7" t="b">
        <v>0</v>
      </c>
      <c r="N7">
        <v>0</v>
      </c>
      <c r="O7">
        <v>1</v>
      </c>
    </row>
    <row r="8" spans="1:15" x14ac:dyDescent="0.3">
      <c r="A8">
        <v>3</v>
      </c>
      <c r="B8" t="s">
        <v>308</v>
      </c>
      <c r="C8">
        <v>102</v>
      </c>
      <c r="D8" t="s">
        <v>18</v>
      </c>
      <c r="E8">
        <v>2</v>
      </c>
      <c r="F8">
        <v>7951.0329166666634</v>
      </c>
      <c r="G8">
        <v>0</v>
      </c>
      <c r="H8">
        <v>7951.0329166666634</v>
      </c>
      <c r="I8">
        <v>0</v>
      </c>
      <c r="K8" s="9">
        <v>0</v>
      </c>
      <c r="L8" s="9"/>
      <c r="M8" t="b">
        <v>0</v>
      </c>
      <c r="N8">
        <v>0</v>
      </c>
      <c r="O8">
        <v>1</v>
      </c>
    </row>
    <row r="9" spans="1:15" x14ac:dyDescent="0.3">
      <c r="A9">
        <v>3</v>
      </c>
      <c r="B9" t="s">
        <v>308</v>
      </c>
      <c r="C9">
        <v>116</v>
      </c>
      <c r="D9" t="s">
        <v>34</v>
      </c>
      <c r="E9">
        <v>2</v>
      </c>
      <c r="F9">
        <v>64.175000000000011</v>
      </c>
      <c r="G9">
        <v>0</v>
      </c>
      <c r="H9">
        <v>64.175000000000011</v>
      </c>
      <c r="I9">
        <v>0</v>
      </c>
      <c r="K9" s="9">
        <v>0</v>
      </c>
      <c r="L9" s="9"/>
      <c r="M9" t="b">
        <v>0</v>
      </c>
      <c r="N9">
        <v>0</v>
      </c>
      <c r="O9">
        <v>1</v>
      </c>
    </row>
    <row r="10" spans="1:15" x14ac:dyDescent="0.3">
      <c r="A10">
        <v>3</v>
      </c>
      <c r="B10" t="s">
        <v>308</v>
      </c>
      <c r="C10">
        <v>121</v>
      </c>
      <c r="D10" t="s">
        <v>22</v>
      </c>
      <c r="E10">
        <v>2</v>
      </c>
      <c r="F10">
        <v>20.587500000000006</v>
      </c>
      <c r="G10">
        <v>0</v>
      </c>
      <c r="H10">
        <v>20.587500000000006</v>
      </c>
      <c r="I10">
        <v>0</v>
      </c>
      <c r="K10" s="9">
        <v>0</v>
      </c>
      <c r="L10" s="9"/>
      <c r="M10" t="b">
        <v>0</v>
      </c>
      <c r="N10">
        <v>0</v>
      </c>
      <c r="O10">
        <v>1</v>
      </c>
    </row>
    <row r="11" spans="1:15" x14ac:dyDescent="0.3">
      <c r="A11">
        <v>3</v>
      </c>
      <c r="B11" t="s">
        <v>308</v>
      </c>
      <c r="C11">
        <v>145</v>
      </c>
      <c r="D11" t="s">
        <v>19</v>
      </c>
      <c r="E11">
        <v>2</v>
      </c>
      <c r="F11">
        <v>507.8104083333335</v>
      </c>
      <c r="G11">
        <v>0</v>
      </c>
      <c r="H11">
        <v>507.8104083333335</v>
      </c>
      <c r="I11">
        <v>0</v>
      </c>
      <c r="K11" s="9">
        <v>0</v>
      </c>
      <c r="L11" s="9"/>
      <c r="M11" t="b">
        <v>0</v>
      </c>
      <c r="N11">
        <v>0</v>
      </c>
      <c r="O11">
        <v>1</v>
      </c>
    </row>
    <row r="12" spans="1:15" x14ac:dyDescent="0.3">
      <c r="A12">
        <v>4</v>
      </c>
      <c r="B12" t="s">
        <v>307</v>
      </c>
      <c r="C12">
        <v>93</v>
      </c>
      <c r="D12" t="s">
        <v>29</v>
      </c>
      <c r="E12">
        <v>0</v>
      </c>
      <c r="F12">
        <v>91.41</v>
      </c>
      <c r="G12">
        <v>82.577319587628864</v>
      </c>
      <c r="H12">
        <v>8.8326804123711327</v>
      </c>
      <c r="I12">
        <v>8.8326804123711327</v>
      </c>
      <c r="J12">
        <v>8.8326804123711327</v>
      </c>
      <c r="K12" s="9">
        <v>0.90337293061622215</v>
      </c>
      <c r="L12" s="9">
        <v>0.90337293061622215</v>
      </c>
      <c r="M12" t="b">
        <v>1</v>
      </c>
      <c r="N12">
        <v>0.90337293061622215</v>
      </c>
      <c r="O12">
        <v>9.6627069383777853E-2</v>
      </c>
    </row>
    <row r="13" spans="1:15" x14ac:dyDescent="0.3">
      <c r="A13">
        <v>4</v>
      </c>
      <c r="B13" t="s">
        <v>307</v>
      </c>
      <c r="C13">
        <v>94</v>
      </c>
      <c r="D13" t="s">
        <v>28</v>
      </c>
      <c r="E13">
        <v>0</v>
      </c>
      <c r="F13">
        <v>159.43399999999997</v>
      </c>
      <c r="G13">
        <v>0</v>
      </c>
      <c r="H13">
        <v>159.43399999999997</v>
      </c>
      <c r="I13">
        <v>0</v>
      </c>
      <c r="K13" s="9">
        <v>0</v>
      </c>
      <c r="L13" s="9"/>
      <c r="M13" t="b">
        <v>0</v>
      </c>
      <c r="N13">
        <v>0</v>
      </c>
      <c r="O13">
        <v>1</v>
      </c>
    </row>
    <row r="14" spans="1:15" x14ac:dyDescent="0.3">
      <c r="A14">
        <v>4</v>
      </c>
      <c r="B14" t="s">
        <v>307</v>
      </c>
      <c r="C14">
        <v>102</v>
      </c>
      <c r="D14" t="s">
        <v>18</v>
      </c>
      <c r="E14">
        <v>0</v>
      </c>
      <c r="F14">
        <v>2200.3240000000001</v>
      </c>
      <c r="G14">
        <v>0</v>
      </c>
      <c r="H14">
        <v>2200.3240000000001</v>
      </c>
      <c r="I14">
        <v>0</v>
      </c>
      <c r="K14" s="9">
        <v>0</v>
      </c>
      <c r="L14" s="9"/>
      <c r="M14" t="b">
        <v>0</v>
      </c>
      <c r="N14">
        <v>0</v>
      </c>
      <c r="O14">
        <v>1</v>
      </c>
    </row>
    <row r="15" spans="1:15" x14ac:dyDescent="0.3">
      <c r="A15">
        <v>4</v>
      </c>
      <c r="B15" t="s">
        <v>307</v>
      </c>
      <c r="C15">
        <v>120</v>
      </c>
      <c r="D15" t="s">
        <v>25</v>
      </c>
      <c r="E15">
        <v>0</v>
      </c>
      <c r="F15">
        <v>249.08999999999995</v>
      </c>
      <c r="G15">
        <v>0</v>
      </c>
      <c r="H15">
        <v>249.08999999999995</v>
      </c>
      <c r="I15">
        <v>0</v>
      </c>
      <c r="K15" s="9">
        <v>0</v>
      </c>
      <c r="L15" s="9"/>
      <c r="M15" t="b">
        <v>0</v>
      </c>
      <c r="N15">
        <v>0</v>
      </c>
      <c r="O15">
        <v>1</v>
      </c>
    </row>
    <row r="16" spans="1:15" x14ac:dyDescent="0.3">
      <c r="A16">
        <v>4</v>
      </c>
      <c r="B16" t="s">
        <v>307</v>
      </c>
      <c r="C16">
        <v>134</v>
      </c>
      <c r="D16" t="s">
        <v>26</v>
      </c>
      <c r="E16">
        <v>0</v>
      </c>
      <c r="F16">
        <v>8.75</v>
      </c>
      <c r="G16">
        <v>0</v>
      </c>
      <c r="H16">
        <v>8.75</v>
      </c>
      <c r="I16">
        <v>0</v>
      </c>
      <c r="K16" s="9">
        <v>0</v>
      </c>
      <c r="L16" s="9"/>
      <c r="M16" t="b">
        <v>0</v>
      </c>
      <c r="N16">
        <v>0</v>
      </c>
      <c r="O16">
        <v>1</v>
      </c>
    </row>
    <row r="17" spans="1:15" x14ac:dyDescent="0.3">
      <c r="A17">
        <v>4</v>
      </c>
      <c r="B17" t="s">
        <v>307</v>
      </c>
      <c r="C17">
        <v>135</v>
      </c>
      <c r="D17" t="s">
        <v>27</v>
      </c>
      <c r="E17">
        <v>0</v>
      </c>
      <c r="F17">
        <v>46.740000000000009</v>
      </c>
      <c r="G17">
        <v>0</v>
      </c>
      <c r="H17">
        <v>46.740000000000009</v>
      </c>
      <c r="I17">
        <v>0</v>
      </c>
      <c r="K17" s="9">
        <v>0</v>
      </c>
      <c r="L17" s="9"/>
      <c r="M17" t="b">
        <v>0</v>
      </c>
      <c r="N17">
        <v>0</v>
      </c>
      <c r="O17">
        <v>1</v>
      </c>
    </row>
    <row r="18" spans="1:15" x14ac:dyDescent="0.3">
      <c r="A18">
        <v>4</v>
      </c>
      <c r="B18" t="s">
        <v>307</v>
      </c>
      <c r="C18">
        <v>145</v>
      </c>
      <c r="D18" t="s">
        <v>19</v>
      </c>
      <c r="E18">
        <v>0</v>
      </c>
      <c r="F18">
        <v>327.58940000000007</v>
      </c>
      <c r="G18">
        <v>0</v>
      </c>
      <c r="H18">
        <v>327.58940000000007</v>
      </c>
      <c r="I18">
        <v>0</v>
      </c>
      <c r="K18" s="9">
        <v>0</v>
      </c>
      <c r="L18" s="9"/>
      <c r="M18" t="b">
        <v>0</v>
      </c>
      <c r="N18">
        <v>0</v>
      </c>
      <c r="O18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09BE-605B-4CC2-A7FA-7EE1646DF7CD}">
  <dimension ref="A1:J2"/>
  <sheetViews>
    <sheetView showGridLines="0" workbookViewId="0">
      <selection activeCell="B3" sqref="B3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25" bestFit="1" customWidth="1"/>
    <col min="9" max="9" width="24.25" bestFit="1" customWidth="1"/>
    <col min="10" max="10" width="18.75" bestFit="1" customWidth="1"/>
  </cols>
  <sheetData>
    <row r="1" spans="1:10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54</v>
      </c>
      <c r="I1" t="s">
        <v>273</v>
      </c>
      <c r="J1" t="s">
        <v>274</v>
      </c>
    </row>
    <row r="2" spans="1:10" x14ac:dyDescent="0.3">
      <c r="A2">
        <v>4</v>
      </c>
      <c r="B2" t="s">
        <v>307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82.577319587628864</v>
      </c>
      <c r="I2">
        <v>82.577319587628864</v>
      </c>
      <c r="J2" s="9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74E0E-C7B0-4792-A2DA-67CF45D3E198}">
  <dimension ref="A1:I2"/>
  <sheetViews>
    <sheetView showGridLines="0" workbookViewId="0">
      <selection sqref="A1:I2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5" bestFit="1" customWidth="1"/>
  </cols>
  <sheetData>
    <row r="1" spans="1:9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54</v>
      </c>
    </row>
    <row r="2" spans="1:9" x14ac:dyDescent="0.3">
      <c r="A2">
        <v>4</v>
      </c>
      <c r="B2" t="s">
        <v>307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82.577319587628864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J19"/>
  <sheetViews>
    <sheetView showGridLines="0" workbookViewId="0">
      <selection activeCell="G8" sqref="G8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3.625" bestFit="1" customWidth="1"/>
    <col min="7" max="7" width="15.625" bestFit="1" customWidth="1"/>
    <col min="8" max="8" width="9.625" bestFit="1" customWidth="1"/>
    <col min="9" max="9" width="10.875" bestFit="1" customWidth="1"/>
    <col min="10" max="10" width="25" bestFit="1" customWidth="1"/>
  </cols>
  <sheetData>
    <row r="1" spans="1:10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55</v>
      </c>
      <c r="G1" t="s">
        <v>251</v>
      </c>
      <c r="H1" t="s">
        <v>57</v>
      </c>
      <c r="I1" t="s">
        <v>56</v>
      </c>
      <c r="J1" t="s">
        <v>54</v>
      </c>
    </row>
    <row r="2" spans="1:10" x14ac:dyDescent="0.3">
      <c r="A2">
        <v>3</v>
      </c>
      <c r="B2" t="s">
        <v>308</v>
      </c>
      <c r="C2">
        <v>10</v>
      </c>
      <c r="D2" t="s">
        <v>20</v>
      </c>
      <c r="E2">
        <v>2</v>
      </c>
      <c r="F2">
        <v>2</v>
      </c>
      <c r="G2" t="s">
        <v>30</v>
      </c>
      <c r="H2">
        <v>1</v>
      </c>
      <c r="I2" t="s">
        <v>58</v>
      </c>
      <c r="J2">
        <v>13.156250000000002</v>
      </c>
    </row>
    <row r="3" spans="1:10" x14ac:dyDescent="0.3">
      <c r="A3">
        <v>3</v>
      </c>
      <c r="B3" t="s">
        <v>308</v>
      </c>
      <c r="C3">
        <v>23</v>
      </c>
      <c r="D3" t="s">
        <v>21</v>
      </c>
      <c r="E3">
        <v>2</v>
      </c>
      <c r="F3">
        <v>2</v>
      </c>
      <c r="G3" t="s">
        <v>30</v>
      </c>
      <c r="H3">
        <v>1</v>
      </c>
      <c r="I3" t="s">
        <v>58</v>
      </c>
      <c r="J3">
        <v>765.73750000000007</v>
      </c>
    </row>
    <row r="4" spans="1:10" x14ac:dyDescent="0.3">
      <c r="A4">
        <v>3</v>
      </c>
      <c r="B4" t="s">
        <v>308</v>
      </c>
      <c r="C4">
        <v>62</v>
      </c>
      <c r="D4" t="s">
        <v>23</v>
      </c>
      <c r="E4">
        <v>2</v>
      </c>
      <c r="F4">
        <v>2</v>
      </c>
      <c r="G4" t="s">
        <v>30</v>
      </c>
      <c r="H4">
        <v>1</v>
      </c>
      <c r="I4" t="s">
        <v>59</v>
      </c>
      <c r="J4">
        <v>857.88519166666674</v>
      </c>
    </row>
    <row r="5" spans="1:10" x14ac:dyDescent="0.3">
      <c r="A5">
        <v>3</v>
      </c>
      <c r="B5" t="s">
        <v>308</v>
      </c>
      <c r="C5">
        <v>63</v>
      </c>
      <c r="D5" t="s">
        <v>33</v>
      </c>
      <c r="E5">
        <v>2</v>
      </c>
      <c r="F5">
        <v>2</v>
      </c>
      <c r="G5" t="s">
        <v>30</v>
      </c>
      <c r="H5">
        <v>1</v>
      </c>
      <c r="I5" t="s">
        <v>58</v>
      </c>
      <c r="J5">
        <v>6.0598958333333339</v>
      </c>
    </row>
    <row r="6" spans="1:10" x14ac:dyDescent="0.3">
      <c r="A6">
        <v>3</v>
      </c>
      <c r="B6" t="s">
        <v>308</v>
      </c>
      <c r="C6">
        <v>69</v>
      </c>
      <c r="D6" t="s">
        <v>31</v>
      </c>
      <c r="E6">
        <v>2</v>
      </c>
      <c r="F6">
        <v>2</v>
      </c>
      <c r="G6" t="s">
        <v>30</v>
      </c>
      <c r="H6">
        <v>1</v>
      </c>
      <c r="I6" t="s">
        <v>58</v>
      </c>
      <c r="J6">
        <v>2.8750000000000004</v>
      </c>
    </row>
    <row r="7" spans="1:10" x14ac:dyDescent="0.3">
      <c r="A7">
        <v>3</v>
      </c>
      <c r="B7" t="s">
        <v>308</v>
      </c>
      <c r="C7">
        <v>88</v>
      </c>
      <c r="D7" t="s">
        <v>24</v>
      </c>
      <c r="E7">
        <v>2</v>
      </c>
      <c r="F7">
        <v>2</v>
      </c>
      <c r="G7" t="s">
        <v>30</v>
      </c>
      <c r="H7">
        <v>1</v>
      </c>
      <c r="I7" t="s">
        <v>59</v>
      </c>
      <c r="J7">
        <v>420.66294166666671</v>
      </c>
    </row>
    <row r="8" spans="1:10" x14ac:dyDescent="0.3">
      <c r="A8">
        <v>3</v>
      </c>
      <c r="B8" t="s">
        <v>308</v>
      </c>
      <c r="C8">
        <v>102</v>
      </c>
      <c r="D8" t="s">
        <v>18</v>
      </c>
      <c r="E8">
        <v>2</v>
      </c>
      <c r="F8">
        <v>2</v>
      </c>
      <c r="G8" t="s">
        <v>30</v>
      </c>
      <c r="H8">
        <v>1</v>
      </c>
      <c r="I8" t="s">
        <v>58</v>
      </c>
      <c r="J8">
        <v>7951.0329166666634</v>
      </c>
    </row>
    <row r="9" spans="1:10" x14ac:dyDescent="0.3">
      <c r="A9">
        <v>3</v>
      </c>
      <c r="B9" t="s">
        <v>308</v>
      </c>
      <c r="C9">
        <v>116</v>
      </c>
      <c r="D9" t="s">
        <v>34</v>
      </c>
      <c r="E9">
        <v>2</v>
      </c>
      <c r="F9">
        <v>2</v>
      </c>
      <c r="G9" t="s">
        <v>30</v>
      </c>
      <c r="H9">
        <v>1</v>
      </c>
      <c r="I9" t="s">
        <v>59</v>
      </c>
      <c r="J9">
        <v>64.175000000000011</v>
      </c>
    </row>
    <row r="10" spans="1:10" x14ac:dyDescent="0.3">
      <c r="A10">
        <v>3</v>
      </c>
      <c r="B10" t="s">
        <v>308</v>
      </c>
      <c r="C10">
        <v>121</v>
      </c>
      <c r="D10" t="s">
        <v>22</v>
      </c>
      <c r="E10">
        <v>2</v>
      </c>
      <c r="F10">
        <v>2</v>
      </c>
      <c r="G10" t="s">
        <v>30</v>
      </c>
      <c r="H10">
        <v>1</v>
      </c>
      <c r="I10" t="s">
        <v>58</v>
      </c>
      <c r="J10">
        <v>20.587500000000006</v>
      </c>
    </row>
    <row r="11" spans="1:10" x14ac:dyDescent="0.3">
      <c r="A11">
        <v>3</v>
      </c>
      <c r="B11" t="s">
        <v>308</v>
      </c>
      <c r="C11">
        <v>145</v>
      </c>
      <c r="D11" t="s">
        <v>19</v>
      </c>
      <c r="E11">
        <v>2</v>
      </c>
      <c r="F11">
        <v>2</v>
      </c>
      <c r="G11" t="s">
        <v>30</v>
      </c>
      <c r="H11">
        <v>1</v>
      </c>
      <c r="I11" t="s">
        <v>58</v>
      </c>
      <c r="J11">
        <v>507.8104083333335</v>
      </c>
    </row>
    <row r="12" spans="1:10" x14ac:dyDescent="0.3">
      <c r="A12">
        <v>4</v>
      </c>
      <c r="B12" t="s">
        <v>307</v>
      </c>
      <c r="C12">
        <v>93</v>
      </c>
      <c r="D12" t="s">
        <v>29</v>
      </c>
      <c r="E12">
        <v>0</v>
      </c>
      <c r="F12">
        <v>3</v>
      </c>
      <c r="G12" t="s">
        <v>32</v>
      </c>
      <c r="H12">
        <v>1</v>
      </c>
      <c r="I12" t="s">
        <v>58</v>
      </c>
      <c r="J12">
        <v>82.577319587628864</v>
      </c>
    </row>
    <row r="13" spans="1:10" x14ac:dyDescent="0.3">
      <c r="A13">
        <v>4</v>
      </c>
      <c r="B13" t="s">
        <v>307</v>
      </c>
      <c r="C13">
        <v>93</v>
      </c>
      <c r="D13" t="s">
        <v>29</v>
      </c>
      <c r="E13">
        <v>0</v>
      </c>
      <c r="F13">
        <v>2</v>
      </c>
      <c r="G13" t="s">
        <v>30</v>
      </c>
      <c r="H13">
        <v>2</v>
      </c>
      <c r="I13" t="s">
        <v>58</v>
      </c>
      <c r="J13">
        <v>8.8326804123711327</v>
      </c>
    </row>
    <row r="14" spans="1:10" x14ac:dyDescent="0.3">
      <c r="A14">
        <v>4</v>
      </c>
      <c r="B14" t="s">
        <v>307</v>
      </c>
      <c r="C14">
        <v>94</v>
      </c>
      <c r="D14" t="s">
        <v>28</v>
      </c>
      <c r="E14">
        <v>0</v>
      </c>
      <c r="F14">
        <v>2</v>
      </c>
      <c r="G14" t="s">
        <v>30</v>
      </c>
      <c r="H14">
        <v>1</v>
      </c>
      <c r="I14" t="s">
        <v>59</v>
      </c>
      <c r="J14">
        <v>159.43399999999997</v>
      </c>
    </row>
    <row r="15" spans="1:10" x14ac:dyDescent="0.3">
      <c r="A15">
        <v>4</v>
      </c>
      <c r="B15" t="s">
        <v>307</v>
      </c>
      <c r="C15">
        <v>102</v>
      </c>
      <c r="D15" t="s">
        <v>18</v>
      </c>
      <c r="E15">
        <v>0</v>
      </c>
      <c r="F15">
        <v>2</v>
      </c>
      <c r="G15" t="s">
        <v>30</v>
      </c>
      <c r="H15">
        <v>1</v>
      </c>
      <c r="I15" t="s">
        <v>58</v>
      </c>
      <c r="J15">
        <v>2200.3240000000001</v>
      </c>
    </row>
    <row r="16" spans="1:10" x14ac:dyDescent="0.3">
      <c r="A16">
        <v>4</v>
      </c>
      <c r="B16" t="s">
        <v>307</v>
      </c>
      <c r="C16">
        <v>120</v>
      </c>
      <c r="D16" t="s">
        <v>25</v>
      </c>
      <c r="E16">
        <v>0</v>
      </c>
      <c r="F16">
        <v>2</v>
      </c>
      <c r="G16" t="s">
        <v>30</v>
      </c>
      <c r="H16">
        <v>1</v>
      </c>
      <c r="I16" t="s">
        <v>59</v>
      </c>
      <c r="J16">
        <v>249.08999999999995</v>
      </c>
    </row>
    <row r="17" spans="1:10" x14ac:dyDescent="0.3">
      <c r="A17">
        <v>4</v>
      </c>
      <c r="B17" t="s">
        <v>307</v>
      </c>
      <c r="C17">
        <v>134</v>
      </c>
      <c r="D17" t="s">
        <v>26</v>
      </c>
      <c r="E17">
        <v>0</v>
      </c>
      <c r="F17">
        <v>2</v>
      </c>
      <c r="G17" t="s">
        <v>30</v>
      </c>
      <c r="H17">
        <v>1</v>
      </c>
      <c r="I17" t="s">
        <v>59</v>
      </c>
      <c r="J17">
        <v>8.75</v>
      </c>
    </row>
    <row r="18" spans="1:10" x14ac:dyDescent="0.3">
      <c r="A18">
        <v>4</v>
      </c>
      <c r="B18" t="s">
        <v>307</v>
      </c>
      <c r="C18">
        <v>135</v>
      </c>
      <c r="D18" t="s">
        <v>27</v>
      </c>
      <c r="E18">
        <v>0</v>
      </c>
      <c r="F18">
        <v>2</v>
      </c>
      <c r="G18" t="s">
        <v>30</v>
      </c>
      <c r="H18">
        <v>1</v>
      </c>
      <c r="I18" t="s">
        <v>58</v>
      </c>
      <c r="J18">
        <v>46.740000000000009</v>
      </c>
    </row>
    <row r="19" spans="1:10" x14ac:dyDescent="0.3">
      <c r="A19">
        <v>4</v>
      </c>
      <c r="B19" t="s">
        <v>307</v>
      </c>
      <c r="C19">
        <v>145</v>
      </c>
      <c r="D19" t="s">
        <v>19</v>
      </c>
      <c r="E19">
        <v>0</v>
      </c>
      <c r="F19">
        <v>2</v>
      </c>
      <c r="G19" t="s">
        <v>30</v>
      </c>
      <c r="H19">
        <v>1</v>
      </c>
      <c r="I19" t="s">
        <v>58</v>
      </c>
      <c r="J19">
        <v>327.58940000000007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K18"/>
  <sheetViews>
    <sheetView showGridLines="0" workbookViewId="0">
      <selection activeCell="D8" sqref="D8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19.875" bestFit="1" customWidth="1"/>
    <col min="8" max="8" width="24.875" bestFit="1" customWidth="1"/>
    <col min="9" max="9" width="23.5" bestFit="1" customWidth="1"/>
    <col min="10" max="10" width="26.125" bestFit="1" customWidth="1"/>
    <col min="11" max="11" width="25.375" customWidth="1"/>
  </cols>
  <sheetData>
    <row r="1" spans="1:11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</row>
    <row r="2" spans="1:11" x14ac:dyDescent="0.3">
      <c r="A2">
        <v>3</v>
      </c>
      <c r="B2" t="s">
        <v>308</v>
      </c>
      <c r="C2">
        <v>10</v>
      </c>
      <c r="D2" t="s">
        <v>20</v>
      </c>
      <c r="E2">
        <v>2</v>
      </c>
      <c r="F2">
        <v>17</v>
      </c>
      <c r="G2">
        <v>13.156250000000002</v>
      </c>
      <c r="H2">
        <v>0</v>
      </c>
      <c r="I2">
        <v>13.156250000000002</v>
      </c>
      <c r="J2">
        <v>0</v>
      </c>
      <c r="K2">
        <v>13.156250000000002</v>
      </c>
    </row>
    <row r="3" spans="1:11" x14ac:dyDescent="0.3">
      <c r="A3">
        <v>3</v>
      </c>
      <c r="B3" t="s">
        <v>308</v>
      </c>
      <c r="C3">
        <v>23</v>
      </c>
      <c r="D3" t="s">
        <v>21</v>
      </c>
      <c r="E3">
        <v>2</v>
      </c>
      <c r="F3">
        <v>19</v>
      </c>
      <c r="G3">
        <v>765.73750000000007</v>
      </c>
      <c r="H3">
        <v>0</v>
      </c>
      <c r="I3">
        <v>765.73750000000007</v>
      </c>
      <c r="J3">
        <v>61.250000000000007</v>
      </c>
      <c r="K3">
        <v>826.98750000000007</v>
      </c>
    </row>
    <row r="4" spans="1:11" x14ac:dyDescent="0.3">
      <c r="A4">
        <v>3</v>
      </c>
      <c r="B4" t="s">
        <v>308</v>
      </c>
      <c r="C4">
        <v>62</v>
      </c>
      <c r="D4" t="s">
        <v>23</v>
      </c>
      <c r="E4">
        <v>2</v>
      </c>
      <c r="F4">
        <v>36</v>
      </c>
      <c r="G4">
        <v>-857.88519166666674</v>
      </c>
      <c r="H4">
        <v>857.88519166666674</v>
      </c>
      <c r="I4">
        <v>0</v>
      </c>
      <c r="J4">
        <v>1247.9166666666667</v>
      </c>
      <c r="K4">
        <v>390.031475</v>
      </c>
    </row>
    <row r="5" spans="1:11" x14ac:dyDescent="0.3">
      <c r="A5">
        <v>3</v>
      </c>
      <c r="B5" t="s">
        <v>308</v>
      </c>
      <c r="C5">
        <v>63</v>
      </c>
      <c r="D5" t="s">
        <v>33</v>
      </c>
      <c r="E5">
        <v>2</v>
      </c>
      <c r="F5">
        <v>19</v>
      </c>
      <c r="G5">
        <v>6.0598958333333339</v>
      </c>
      <c r="H5">
        <v>0</v>
      </c>
      <c r="I5">
        <v>6.0598958333333339</v>
      </c>
      <c r="J5">
        <v>0.17968750000000003</v>
      </c>
      <c r="K5">
        <v>6.2395833333333339</v>
      </c>
    </row>
    <row r="6" spans="1:11" x14ac:dyDescent="0.3">
      <c r="A6">
        <v>3</v>
      </c>
      <c r="B6" t="s">
        <v>308</v>
      </c>
      <c r="C6">
        <v>69</v>
      </c>
      <c r="D6" t="s">
        <v>31</v>
      </c>
      <c r="E6">
        <v>2</v>
      </c>
      <c r="F6">
        <v>17</v>
      </c>
      <c r="G6">
        <v>2.8750000000000004</v>
      </c>
      <c r="H6">
        <v>0</v>
      </c>
      <c r="I6">
        <v>2.8750000000000004</v>
      </c>
      <c r="J6">
        <v>0</v>
      </c>
      <c r="K6">
        <v>2.8750000000000004</v>
      </c>
    </row>
    <row r="7" spans="1:11" x14ac:dyDescent="0.3">
      <c r="A7">
        <v>3</v>
      </c>
      <c r="B7" t="s">
        <v>308</v>
      </c>
      <c r="C7">
        <v>88</v>
      </c>
      <c r="D7" t="s">
        <v>24</v>
      </c>
      <c r="E7">
        <v>2</v>
      </c>
      <c r="F7">
        <v>36</v>
      </c>
      <c r="G7">
        <v>-420.66294166666671</v>
      </c>
      <c r="H7">
        <v>420.66294166666671</v>
      </c>
      <c r="I7">
        <v>0</v>
      </c>
      <c r="J7">
        <v>826.98750000000007</v>
      </c>
      <c r="K7">
        <v>406.32455833333336</v>
      </c>
    </row>
    <row r="8" spans="1:11" x14ac:dyDescent="0.3">
      <c r="A8">
        <v>3</v>
      </c>
      <c r="B8" t="s">
        <v>308</v>
      </c>
      <c r="C8">
        <v>102</v>
      </c>
      <c r="D8" t="s">
        <v>18</v>
      </c>
      <c r="E8">
        <v>2</v>
      </c>
      <c r="F8">
        <v>41</v>
      </c>
      <c r="G8">
        <v>7951.0329166666634</v>
      </c>
      <c r="H8">
        <v>0</v>
      </c>
      <c r="I8">
        <v>7951.0329166666634</v>
      </c>
      <c r="J8">
        <v>40179.092083333337</v>
      </c>
      <c r="K8">
        <v>48130.125</v>
      </c>
    </row>
    <row r="9" spans="1:11" x14ac:dyDescent="0.3">
      <c r="A9">
        <v>3</v>
      </c>
      <c r="B9" t="s">
        <v>308</v>
      </c>
      <c r="C9">
        <v>116</v>
      </c>
      <c r="D9" t="s">
        <v>34</v>
      </c>
      <c r="E9">
        <v>2</v>
      </c>
      <c r="F9">
        <v>43</v>
      </c>
      <c r="G9">
        <v>-64.175000000000011</v>
      </c>
      <c r="H9">
        <v>64.175000000000011</v>
      </c>
      <c r="I9">
        <v>0</v>
      </c>
      <c r="J9">
        <v>64.175000000000011</v>
      </c>
      <c r="K9">
        <v>0</v>
      </c>
    </row>
    <row r="10" spans="1:11" x14ac:dyDescent="0.3">
      <c r="A10">
        <v>3</v>
      </c>
      <c r="B10" t="s">
        <v>308</v>
      </c>
      <c r="C10">
        <v>121</v>
      </c>
      <c r="D10" t="s">
        <v>22</v>
      </c>
      <c r="E10">
        <v>2</v>
      </c>
      <c r="F10">
        <v>19</v>
      </c>
      <c r="G10">
        <v>20.587500000000006</v>
      </c>
      <c r="H10">
        <v>0</v>
      </c>
      <c r="I10">
        <v>20.587500000000006</v>
      </c>
      <c r="J10">
        <v>11.500000000000002</v>
      </c>
      <c r="K10">
        <v>32.087500000000006</v>
      </c>
    </row>
    <row r="11" spans="1:11" x14ac:dyDescent="0.3">
      <c r="A11">
        <v>3</v>
      </c>
      <c r="B11" t="s">
        <v>308</v>
      </c>
      <c r="C11">
        <v>145</v>
      </c>
      <c r="D11" t="s">
        <v>19</v>
      </c>
      <c r="E11">
        <v>2</v>
      </c>
      <c r="F11">
        <v>53</v>
      </c>
      <c r="G11">
        <v>507.8104083333335</v>
      </c>
      <c r="H11">
        <v>0</v>
      </c>
      <c r="I11">
        <v>507.8104083333335</v>
      </c>
      <c r="J11">
        <v>1186.3875083333332</v>
      </c>
      <c r="K11">
        <v>1694.1979166666667</v>
      </c>
    </row>
    <row r="12" spans="1:11" x14ac:dyDescent="0.3">
      <c r="A12">
        <v>4</v>
      </c>
      <c r="B12" t="s">
        <v>307</v>
      </c>
      <c r="C12">
        <v>93</v>
      </c>
      <c r="D12" t="s">
        <v>29</v>
      </c>
      <c r="E12">
        <v>0</v>
      </c>
      <c r="F12">
        <v>8</v>
      </c>
      <c r="G12">
        <v>91.41</v>
      </c>
      <c r="H12">
        <v>0</v>
      </c>
      <c r="I12">
        <v>91.41</v>
      </c>
      <c r="J12">
        <v>0</v>
      </c>
      <c r="K12">
        <v>91.41</v>
      </c>
    </row>
    <row r="13" spans="1:11" x14ac:dyDescent="0.3">
      <c r="A13">
        <v>4</v>
      </c>
      <c r="B13" t="s">
        <v>307</v>
      </c>
      <c r="C13">
        <v>94</v>
      </c>
      <c r="D13" t="s">
        <v>28</v>
      </c>
      <c r="E13">
        <v>0</v>
      </c>
      <c r="F13">
        <v>20</v>
      </c>
      <c r="G13">
        <v>-159.43399999999997</v>
      </c>
      <c r="H13">
        <v>159.43399999999997</v>
      </c>
      <c r="I13">
        <v>0</v>
      </c>
      <c r="J13">
        <v>457.04999999999995</v>
      </c>
      <c r="K13">
        <v>297.61599999999999</v>
      </c>
    </row>
    <row r="14" spans="1:11" x14ac:dyDescent="0.3">
      <c r="A14">
        <v>4</v>
      </c>
      <c r="B14" t="s">
        <v>307</v>
      </c>
      <c r="C14">
        <v>102</v>
      </c>
      <c r="D14" t="s">
        <v>18</v>
      </c>
      <c r="E14">
        <v>0</v>
      </c>
      <c r="F14">
        <v>41</v>
      </c>
      <c r="G14">
        <v>2200.3240000000001</v>
      </c>
      <c r="H14">
        <v>0</v>
      </c>
      <c r="I14">
        <v>2200.3240000000001</v>
      </c>
      <c r="J14">
        <v>366.61600000000004</v>
      </c>
      <c r="K14">
        <v>2566.94</v>
      </c>
    </row>
    <row r="15" spans="1:11" x14ac:dyDescent="0.3">
      <c r="A15">
        <v>4</v>
      </c>
      <c r="B15" t="s">
        <v>307</v>
      </c>
      <c r="C15">
        <v>120</v>
      </c>
      <c r="D15" t="s">
        <v>25</v>
      </c>
      <c r="E15">
        <v>0</v>
      </c>
      <c r="F15">
        <v>20</v>
      </c>
      <c r="G15">
        <v>-249.08999999999995</v>
      </c>
      <c r="H15">
        <v>249.08999999999995</v>
      </c>
      <c r="I15">
        <v>0</v>
      </c>
      <c r="J15">
        <v>427.01599999999996</v>
      </c>
      <c r="K15">
        <v>177.92600000000002</v>
      </c>
    </row>
    <row r="16" spans="1:11" x14ac:dyDescent="0.3">
      <c r="A16">
        <v>4</v>
      </c>
      <c r="B16" t="s">
        <v>307</v>
      </c>
      <c r="C16">
        <v>134</v>
      </c>
      <c r="D16" t="s">
        <v>26</v>
      </c>
      <c r="E16">
        <v>0</v>
      </c>
      <c r="F16">
        <v>24</v>
      </c>
      <c r="G16">
        <v>-8.75</v>
      </c>
      <c r="H16">
        <v>8.75</v>
      </c>
      <c r="I16">
        <v>0</v>
      </c>
      <c r="J16">
        <v>91.41</v>
      </c>
      <c r="K16">
        <v>82.66</v>
      </c>
    </row>
    <row r="17" spans="1:11" x14ac:dyDescent="0.3">
      <c r="A17">
        <v>4</v>
      </c>
      <c r="B17" t="s">
        <v>307</v>
      </c>
      <c r="C17">
        <v>135</v>
      </c>
      <c r="D17" t="s">
        <v>27</v>
      </c>
      <c r="E17">
        <v>0</v>
      </c>
      <c r="F17">
        <v>20</v>
      </c>
      <c r="G17">
        <v>46.740000000000009</v>
      </c>
      <c r="H17">
        <v>0</v>
      </c>
      <c r="I17">
        <v>46.740000000000009</v>
      </c>
      <c r="J17">
        <v>82.66</v>
      </c>
      <c r="K17">
        <v>129.4</v>
      </c>
    </row>
    <row r="18" spans="1:11" x14ac:dyDescent="0.3">
      <c r="A18">
        <v>4</v>
      </c>
      <c r="B18" t="s">
        <v>307</v>
      </c>
      <c r="C18">
        <v>145</v>
      </c>
      <c r="D18" t="s">
        <v>19</v>
      </c>
      <c r="E18">
        <v>0</v>
      </c>
      <c r="F18">
        <v>53</v>
      </c>
      <c r="G18">
        <v>327.58940000000007</v>
      </c>
      <c r="H18">
        <v>0</v>
      </c>
      <c r="I18">
        <v>327.58940000000007</v>
      </c>
      <c r="J18">
        <v>1298.8406</v>
      </c>
      <c r="K18">
        <v>1626.43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3FF3-CA58-4FF1-85A6-C223A209C048}">
  <dimension ref="A1:G17"/>
  <sheetViews>
    <sheetView showGridLines="0" tabSelected="1" workbookViewId="0">
      <selection activeCell="G18" sqref="G18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14" bestFit="1" customWidth="1"/>
    <col min="7" max="7" width="25.375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53</v>
      </c>
    </row>
    <row r="2" spans="1:7" x14ac:dyDescent="0.3">
      <c r="A2">
        <v>3</v>
      </c>
      <c r="B2" t="s">
        <v>308</v>
      </c>
      <c r="C2">
        <v>10</v>
      </c>
      <c r="D2" t="s">
        <v>20</v>
      </c>
      <c r="E2">
        <v>2</v>
      </c>
      <c r="F2">
        <v>17</v>
      </c>
      <c r="G2">
        <v>13.156250000000002</v>
      </c>
    </row>
    <row r="3" spans="1:7" x14ac:dyDescent="0.3">
      <c r="A3">
        <v>3</v>
      </c>
      <c r="B3" t="s">
        <v>308</v>
      </c>
      <c r="C3">
        <v>23</v>
      </c>
      <c r="D3" t="s">
        <v>21</v>
      </c>
      <c r="E3">
        <v>2</v>
      </c>
      <c r="F3">
        <v>19</v>
      </c>
      <c r="G3">
        <v>826.98750000000007</v>
      </c>
    </row>
    <row r="4" spans="1:7" x14ac:dyDescent="0.3">
      <c r="A4">
        <v>3</v>
      </c>
      <c r="B4" t="s">
        <v>308</v>
      </c>
      <c r="C4">
        <v>62</v>
      </c>
      <c r="D4" t="s">
        <v>23</v>
      </c>
      <c r="E4">
        <v>2</v>
      </c>
      <c r="F4">
        <v>36</v>
      </c>
      <c r="G4">
        <v>390.031475</v>
      </c>
    </row>
    <row r="5" spans="1:7" x14ac:dyDescent="0.3">
      <c r="A5">
        <v>3</v>
      </c>
      <c r="B5" t="s">
        <v>308</v>
      </c>
      <c r="C5">
        <v>63</v>
      </c>
      <c r="D5" t="s">
        <v>33</v>
      </c>
      <c r="E5">
        <v>2</v>
      </c>
      <c r="F5">
        <v>19</v>
      </c>
      <c r="G5">
        <v>6.2395833333333339</v>
      </c>
    </row>
    <row r="6" spans="1:7" x14ac:dyDescent="0.3">
      <c r="A6">
        <v>3</v>
      </c>
      <c r="B6" t="s">
        <v>308</v>
      </c>
      <c r="C6">
        <v>69</v>
      </c>
      <c r="D6" t="s">
        <v>31</v>
      </c>
      <c r="E6">
        <v>2</v>
      </c>
      <c r="F6">
        <v>17</v>
      </c>
      <c r="G6">
        <v>2.8750000000000004</v>
      </c>
    </row>
    <row r="7" spans="1:7" x14ac:dyDescent="0.3">
      <c r="A7">
        <v>3</v>
      </c>
      <c r="B7" t="s">
        <v>308</v>
      </c>
      <c r="C7">
        <v>88</v>
      </c>
      <c r="D7" t="s">
        <v>24</v>
      </c>
      <c r="E7">
        <v>2</v>
      </c>
      <c r="F7">
        <v>36</v>
      </c>
      <c r="G7">
        <v>406.32455833333336</v>
      </c>
    </row>
    <row r="8" spans="1:7" x14ac:dyDescent="0.3">
      <c r="A8">
        <v>3</v>
      </c>
      <c r="B8" t="s">
        <v>308</v>
      </c>
      <c r="C8">
        <v>102</v>
      </c>
      <c r="D8" t="s">
        <v>18</v>
      </c>
      <c r="E8">
        <v>2</v>
      </c>
      <c r="F8">
        <v>41</v>
      </c>
      <c r="G8">
        <v>48130.125</v>
      </c>
    </row>
    <row r="9" spans="1:7" x14ac:dyDescent="0.3">
      <c r="A9">
        <v>3</v>
      </c>
      <c r="B9" t="s">
        <v>308</v>
      </c>
      <c r="C9">
        <v>121</v>
      </c>
      <c r="D9" t="s">
        <v>22</v>
      </c>
      <c r="E9">
        <v>2</v>
      </c>
      <c r="F9">
        <v>19</v>
      </c>
      <c r="G9">
        <v>32.087500000000006</v>
      </c>
    </row>
    <row r="10" spans="1:7" x14ac:dyDescent="0.3">
      <c r="A10">
        <v>3</v>
      </c>
      <c r="B10" t="s">
        <v>308</v>
      </c>
      <c r="C10">
        <v>145</v>
      </c>
      <c r="D10" t="s">
        <v>19</v>
      </c>
      <c r="E10">
        <v>2</v>
      </c>
      <c r="F10">
        <v>53</v>
      </c>
      <c r="G10">
        <v>1694.1979166666667</v>
      </c>
    </row>
    <row r="11" spans="1:7" x14ac:dyDescent="0.3">
      <c r="A11">
        <v>4</v>
      </c>
      <c r="B11" t="s">
        <v>307</v>
      </c>
      <c r="C11">
        <v>93</v>
      </c>
      <c r="D11" t="s">
        <v>29</v>
      </c>
      <c r="E11">
        <v>0</v>
      </c>
      <c r="F11">
        <v>8</v>
      </c>
      <c r="G11">
        <v>91.41</v>
      </c>
    </row>
    <row r="12" spans="1:7" x14ac:dyDescent="0.3">
      <c r="A12">
        <v>4</v>
      </c>
      <c r="B12" t="s">
        <v>307</v>
      </c>
      <c r="C12">
        <v>94</v>
      </c>
      <c r="D12" t="s">
        <v>28</v>
      </c>
      <c r="E12">
        <v>0</v>
      </c>
      <c r="F12">
        <v>20</v>
      </c>
      <c r="G12">
        <v>297.61599999999999</v>
      </c>
    </row>
    <row r="13" spans="1:7" x14ac:dyDescent="0.3">
      <c r="A13">
        <v>4</v>
      </c>
      <c r="B13" t="s">
        <v>307</v>
      </c>
      <c r="C13">
        <v>102</v>
      </c>
      <c r="D13" t="s">
        <v>18</v>
      </c>
      <c r="E13">
        <v>0</v>
      </c>
      <c r="F13">
        <v>41</v>
      </c>
      <c r="G13">
        <v>2566.94</v>
      </c>
    </row>
    <row r="14" spans="1:7" x14ac:dyDescent="0.3">
      <c r="A14">
        <v>4</v>
      </c>
      <c r="B14" t="s">
        <v>307</v>
      </c>
      <c r="C14">
        <v>120</v>
      </c>
      <c r="D14" t="s">
        <v>25</v>
      </c>
      <c r="E14">
        <v>0</v>
      </c>
      <c r="F14">
        <v>20</v>
      </c>
      <c r="G14">
        <v>177.92600000000002</v>
      </c>
    </row>
    <row r="15" spans="1:7" x14ac:dyDescent="0.3">
      <c r="A15">
        <v>4</v>
      </c>
      <c r="B15" t="s">
        <v>307</v>
      </c>
      <c r="C15">
        <v>134</v>
      </c>
      <c r="D15" t="s">
        <v>26</v>
      </c>
      <c r="E15">
        <v>0</v>
      </c>
      <c r="F15">
        <v>24</v>
      </c>
      <c r="G15">
        <v>82.66</v>
      </c>
    </row>
    <row r="16" spans="1:7" x14ac:dyDescent="0.3">
      <c r="A16">
        <v>4</v>
      </c>
      <c r="B16" t="s">
        <v>307</v>
      </c>
      <c r="C16">
        <v>135</v>
      </c>
      <c r="D16" t="s">
        <v>27</v>
      </c>
      <c r="E16">
        <v>0</v>
      </c>
      <c r="F16">
        <v>20</v>
      </c>
      <c r="G16">
        <v>129.4</v>
      </c>
    </row>
    <row r="17" spans="1:7" x14ac:dyDescent="0.3">
      <c r="A17">
        <v>4</v>
      </c>
      <c r="B17" t="s">
        <v>307</v>
      </c>
      <c r="C17">
        <v>145</v>
      </c>
      <c r="D17" t="s">
        <v>19</v>
      </c>
      <c r="E17">
        <v>0</v>
      </c>
      <c r="F17">
        <v>53</v>
      </c>
      <c r="G17">
        <v>1626.43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53BAA-6C1B-4B97-8B1A-BDB70CB86282}">
  <dimension ref="A1:H19"/>
  <sheetViews>
    <sheetView showGridLines="0" workbookViewId="0"/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8.625" bestFit="1" customWidth="1"/>
    <col min="5" max="5" width="13.875" bestFit="1" customWidth="1"/>
    <col min="6" max="6" width="9.625" bestFit="1" customWidth="1"/>
    <col min="7" max="7" width="14" bestFit="1" customWidth="1"/>
    <col min="8" max="8" width="16" bestFit="1" customWidth="1"/>
  </cols>
  <sheetData>
    <row r="1" spans="1:8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57</v>
      </c>
      <c r="G1" t="s">
        <v>66</v>
      </c>
      <c r="H1" t="s">
        <v>67</v>
      </c>
    </row>
    <row r="2" spans="1:8" x14ac:dyDescent="0.3">
      <c r="A2">
        <v>3</v>
      </c>
      <c r="B2" t="s">
        <v>308</v>
      </c>
      <c r="C2">
        <v>10</v>
      </c>
      <c r="D2" t="s">
        <v>20</v>
      </c>
      <c r="E2">
        <v>2</v>
      </c>
    </row>
    <row r="3" spans="1:8" x14ac:dyDescent="0.3">
      <c r="A3">
        <v>3</v>
      </c>
      <c r="B3" t="s">
        <v>308</v>
      </c>
      <c r="C3">
        <v>23</v>
      </c>
      <c r="D3" t="s">
        <v>21</v>
      </c>
      <c r="E3">
        <v>2</v>
      </c>
    </row>
    <row r="4" spans="1:8" x14ac:dyDescent="0.3">
      <c r="A4">
        <v>3</v>
      </c>
      <c r="B4" t="s">
        <v>308</v>
      </c>
      <c r="C4">
        <v>62</v>
      </c>
      <c r="D4" t="s">
        <v>23</v>
      </c>
      <c r="E4">
        <v>2</v>
      </c>
    </row>
    <row r="5" spans="1:8" x14ac:dyDescent="0.3">
      <c r="A5">
        <v>3</v>
      </c>
      <c r="B5" t="s">
        <v>308</v>
      </c>
      <c r="C5">
        <v>63</v>
      </c>
      <c r="D5" t="s">
        <v>33</v>
      </c>
      <c r="E5">
        <v>2</v>
      </c>
    </row>
    <row r="6" spans="1:8" x14ac:dyDescent="0.3">
      <c r="A6">
        <v>3</v>
      </c>
      <c r="B6" t="s">
        <v>308</v>
      </c>
      <c r="C6">
        <v>69</v>
      </c>
      <c r="D6" t="s">
        <v>31</v>
      </c>
      <c r="E6">
        <v>2</v>
      </c>
    </row>
    <row r="7" spans="1:8" x14ac:dyDescent="0.3">
      <c r="A7">
        <v>3</v>
      </c>
      <c r="B7" t="s">
        <v>308</v>
      </c>
      <c r="C7">
        <v>88</v>
      </c>
      <c r="D7" t="s">
        <v>24</v>
      </c>
      <c r="E7">
        <v>2</v>
      </c>
    </row>
    <row r="8" spans="1:8" x14ac:dyDescent="0.3">
      <c r="A8">
        <v>3</v>
      </c>
      <c r="B8" t="s">
        <v>308</v>
      </c>
      <c r="C8">
        <v>102</v>
      </c>
      <c r="D8" t="s">
        <v>18</v>
      </c>
      <c r="E8">
        <v>2</v>
      </c>
    </row>
    <row r="9" spans="1:8" x14ac:dyDescent="0.3">
      <c r="A9">
        <v>3</v>
      </c>
      <c r="B9" t="s">
        <v>308</v>
      </c>
      <c r="C9">
        <v>116</v>
      </c>
      <c r="D9" t="s">
        <v>34</v>
      </c>
      <c r="E9">
        <v>2</v>
      </c>
    </row>
    <row r="10" spans="1:8" x14ac:dyDescent="0.3">
      <c r="A10">
        <v>3</v>
      </c>
      <c r="B10" t="s">
        <v>308</v>
      </c>
      <c r="C10">
        <v>121</v>
      </c>
      <c r="D10" t="s">
        <v>22</v>
      </c>
      <c r="E10">
        <v>2</v>
      </c>
    </row>
    <row r="11" spans="1:8" x14ac:dyDescent="0.3">
      <c r="A11">
        <v>3</v>
      </c>
      <c r="B11" t="s">
        <v>308</v>
      </c>
      <c r="C11">
        <v>145</v>
      </c>
      <c r="D11" t="s">
        <v>19</v>
      </c>
      <c r="E11">
        <v>2</v>
      </c>
    </row>
    <row r="12" spans="1:8" x14ac:dyDescent="0.3">
      <c r="A12">
        <v>4</v>
      </c>
      <c r="B12" t="s">
        <v>307</v>
      </c>
      <c r="C12">
        <v>93</v>
      </c>
      <c r="D12" t="s">
        <v>29</v>
      </c>
      <c r="E12">
        <v>0</v>
      </c>
      <c r="F12">
        <v>1</v>
      </c>
      <c r="G12">
        <v>28</v>
      </c>
      <c r="H12" t="s">
        <v>17</v>
      </c>
    </row>
    <row r="13" spans="1:8" x14ac:dyDescent="0.3">
      <c r="A13">
        <v>4</v>
      </c>
      <c r="B13" t="s">
        <v>307</v>
      </c>
      <c r="C13">
        <v>93</v>
      </c>
      <c r="D13" t="s">
        <v>29</v>
      </c>
      <c r="E13">
        <v>0</v>
      </c>
      <c r="F13">
        <v>1</v>
      </c>
      <c r="G13">
        <v>28</v>
      </c>
      <c r="H13" t="s">
        <v>17</v>
      </c>
    </row>
    <row r="14" spans="1:8" x14ac:dyDescent="0.3">
      <c r="A14">
        <v>4</v>
      </c>
      <c r="B14" t="s">
        <v>307</v>
      </c>
      <c r="C14">
        <v>94</v>
      </c>
      <c r="D14" t="s">
        <v>28</v>
      </c>
      <c r="E14">
        <v>0</v>
      </c>
    </row>
    <row r="15" spans="1:8" x14ac:dyDescent="0.3">
      <c r="A15">
        <v>4</v>
      </c>
      <c r="B15" t="s">
        <v>307</v>
      </c>
      <c r="C15">
        <v>102</v>
      </c>
      <c r="D15" t="s">
        <v>18</v>
      </c>
      <c r="E15">
        <v>0</v>
      </c>
    </row>
    <row r="16" spans="1:8" x14ac:dyDescent="0.3">
      <c r="A16">
        <v>4</v>
      </c>
      <c r="B16" t="s">
        <v>307</v>
      </c>
      <c r="C16">
        <v>120</v>
      </c>
      <c r="D16" t="s">
        <v>25</v>
      </c>
      <c r="E16">
        <v>0</v>
      </c>
    </row>
    <row r="17" spans="1:5" x14ac:dyDescent="0.3">
      <c r="A17">
        <v>4</v>
      </c>
      <c r="B17" t="s">
        <v>307</v>
      </c>
      <c r="C17">
        <v>134</v>
      </c>
      <c r="D17" t="s">
        <v>26</v>
      </c>
      <c r="E17">
        <v>0</v>
      </c>
    </row>
    <row r="18" spans="1:5" x14ac:dyDescent="0.3">
      <c r="A18">
        <v>4</v>
      </c>
      <c r="B18" t="s">
        <v>307</v>
      </c>
      <c r="C18">
        <v>135</v>
      </c>
      <c r="D18" t="s">
        <v>27</v>
      </c>
      <c r="E18">
        <v>0</v>
      </c>
    </row>
    <row r="19" spans="1:5" x14ac:dyDescent="0.3">
      <c r="A19">
        <v>4</v>
      </c>
      <c r="B19" t="s">
        <v>307</v>
      </c>
      <c r="C19">
        <v>145</v>
      </c>
      <c r="D19" t="s">
        <v>19</v>
      </c>
      <c r="E19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G15"/>
  <sheetViews>
    <sheetView showGridLines="0" workbookViewId="0">
      <selection activeCell="C17" sqref="C17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26.125" customWidth="1"/>
  </cols>
  <sheetData>
    <row r="1" spans="1:7" x14ac:dyDescent="0.3">
      <c r="A1" t="s">
        <v>44</v>
      </c>
      <c r="B1" t="s">
        <v>281</v>
      </c>
      <c r="C1" t="s">
        <v>35</v>
      </c>
      <c r="D1" t="s">
        <v>113</v>
      </c>
      <c r="E1" t="s">
        <v>36</v>
      </c>
      <c r="F1" t="s">
        <v>66</v>
      </c>
      <c r="G1" t="s">
        <v>52</v>
      </c>
    </row>
    <row r="2" spans="1:7" x14ac:dyDescent="0.3">
      <c r="A2">
        <v>3</v>
      </c>
      <c r="B2" t="s">
        <v>308</v>
      </c>
      <c r="C2">
        <v>23</v>
      </c>
      <c r="D2" t="s">
        <v>21</v>
      </c>
      <c r="E2">
        <v>2</v>
      </c>
      <c r="G2">
        <v>61.250000000000007</v>
      </c>
    </row>
    <row r="3" spans="1:7" x14ac:dyDescent="0.3">
      <c r="A3">
        <v>3</v>
      </c>
      <c r="B3" t="s">
        <v>308</v>
      </c>
      <c r="C3">
        <v>62</v>
      </c>
      <c r="D3" t="s">
        <v>23</v>
      </c>
      <c r="E3">
        <v>2</v>
      </c>
      <c r="G3">
        <v>1247.9166666666667</v>
      </c>
    </row>
    <row r="4" spans="1:7" x14ac:dyDescent="0.3">
      <c r="A4">
        <v>3</v>
      </c>
      <c r="B4" t="s">
        <v>308</v>
      </c>
      <c r="C4">
        <v>63</v>
      </c>
      <c r="D4" t="s">
        <v>33</v>
      </c>
      <c r="E4">
        <v>2</v>
      </c>
      <c r="G4">
        <v>0.17968750000000003</v>
      </c>
    </row>
    <row r="5" spans="1:7" x14ac:dyDescent="0.3">
      <c r="A5">
        <v>3</v>
      </c>
      <c r="B5" t="s">
        <v>308</v>
      </c>
      <c r="C5">
        <v>88</v>
      </c>
      <c r="D5" t="s">
        <v>24</v>
      </c>
      <c r="E5">
        <v>2</v>
      </c>
      <c r="G5">
        <v>826.98750000000007</v>
      </c>
    </row>
    <row r="6" spans="1:7" x14ac:dyDescent="0.3">
      <c r="A6">
        <v>3</v>
      </c>
      <c r="B6" t="s">
        <v>308</v>
      </c>
      <c r="C6">
        <v>102</v>
      </c>
      <c r="D6" t="s">
        <v>18</v>
      </c>
      <c r="E6">
        <v>2</v>
      </c>
      <c r="G6">
        <v>40179.092083333337</v>
      </c>
    </row>
    <row r="7" spans="1:7" x14ac:dyDescent="0.3">
      <c r="A7">
        <v>3</v>
      </c>
      <c r="B7" t="s">
        <v>308</v>
      </c>
      <c r="C7">
        <v>116</v>
      </c>
      <c r="D7" t="s">
        <v>34</v>
      </c>
      <c r="E7">
        <v>2</v>
      </c>
      <c r="G7">
        <v>64.175000000000011</v>
      </c>
    </row>
    <row r="8" spans="1:7" x14ac:dyDescent="0.3">
      <c r="A8">
        <v>3</v>
      </c>
      <c r="B8" t="s">
        <v>308</v>
      </c>
      <c r="C8">
        <v>121</v>
      </c>
      <c r="D8" t="s">
        <v>22</v>
      </c>
      <c r="E8">
        <v>2</v>
      </c>
      <c r="G8">
        <v>11.500000000000002</v>
      </c>
    </row>
    <row r="9" spans="1:7" x14ac:dyDescent="0.3">
      <c r="A9">
        <v>3</v>
      </c>
      <c r="B9" t="s">
        <v>308</v>
      </c>
      <c r="C9">
        <v>145</v>
      </c>
      <c r="D9" t="s">
        <v>19</v>
      </c>
      <c r="E9">
        <v>2</v>
      </c>
      <c r="G9">
        <v>1186.3875083333332</v>
      </c>
    </row>
    <row r="10" spans="1:7" x14ac:dyDescent="0.3">
      <c r="A10">
        <v>4</v>
      </c>
      <c r="B10" t="s">
        <v>307</v>
      </c>
      <c r="C10">
        <v>94</v>
      </c>
      <c r="D10" t="s">
        <v>28</v>
      </c>
      <c r="E10">
        <v>0</v>
      </c>
      <c r="G10">
        <v>457.04999999999995</v>
      </c>
    </row>
    <row r="11" spans="1:7" x14ac:dyDescent="0.3">
      <c r="A11">
        <v>4</v>
      </c>
      <c r="B11" t="s">
        <v>307</v>
      </c>
      <c r="C11">
        <v>102</v>
      </c>
      <c r="D11" t="s">
        <v>18</v>
      </c>
      <c r="E11">
        <v>0</v>
      </c>
      <c r="G11">
        <v>366.61600000000004</v>
      </c>
    </row>
    <row r="12" spans="1:7" x14ac:dyDescent="0.3">
      <c r="A12">
        <v>4</v>
      </c>
      <c r="B12" t="s">
        <v>307</v>
      </c>
      <c r="C12">
        <v>120</v>
      </c>
      <c r="D12" t="s">
        <v>25</v>
      </c>
      <c r="E12">
        <v>0</v>
      </c>
      <c r="G12">
        <v>427.01599999999996</v>
      </c>
    </row>
    <row r="13" spans="1:7" x14ac:dyDescent="0.3">
      <c r="A13">
        <v>4</v>
      </c>
      <c r="B13" t="s">
        <v>307</v>
      </c>
      <c r="C13">
        <v>134</v>
      </c>
      <c r="D13" t="s">
        <v>26</v>
      </c>
      <c r="E13">
        <v>0</v>
      </c>
      <c r="G13">
        <v>91.41</v>
      </c>
    </row>
    <row r="14" spans="1:7" x14ac:dyDescent="0.3">
      <c r="A14">
        <v>4</v>
      </c>
      <c r="B14" t="s">
        <v>307</v>
      </c>
      <c r="C14">
        <v>135</v>
      </c>
      <c r="D14" t="s">
        <v>27</v>
      </c>
      <c r="E14">
        <v>0</v>
      </c>
      <c r="G14">
        <v>82.66</v>
      </c>
    </row>
    <row r="15" spans="1:7" x14ac:dyDescent="0.3">
      <c r="A15">
        <v>4</v>
      </c>
      <c r="B15" t="s">
        <v>307</v>
      </c>
      <c r="C15">
        <v>145</v>
      </c>
      <c r="D15" t="s">
        <v>19</v>
      </c>
      <c r="E15">
        <v>0</v>
      </c>
      <c r="G15">
        <v>1298.8406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I26"/>
  <sheetViews>
    <sheetView showGridLines="0" workbookViewId="0">
      <selection activeCell="B7" sqref="B7"/>
    </sheetView>
  </sheetViews>
  <sheetFormatPr defaultRowHeight="16.5" x14ac:dyDescent="0.3"/>
  <cols>
    <col min="1" max="1" width="14.875" bestFit="1" customWidth="1"/>
    <col min="2" max="2" width="49.125" bestFit="1" customWidth="1"/>
    <col min="3" max="3" width="20.5" bestFit="1" customWidth="1"/>
    <col min="4" max="4" width="22.375" bestFit="1" customWidth="1"/>
    <col min="5" max="5" width="20.625" bestFit="1" customWidth="1"/>
    <col min="6" max="6" width="24.125" bestFit="1" customWidth="1"/>
    <col min="7" max="7" width="26" bestFit="1" customWidth="1"/>
    <col min="8" max="8" width="24.25" bestFit="1" customWidth="1"/>
    <col min="9" max="9" width="26.125" bestFit="1" customWidth="1"/>
  </cols>
  <sheetData>
    <row r="1" spans="1:9" x14ac:dyDescent="0.3">
      <c r="A1" t="s">
        <v>44</v>
      </c>
      <c r="B1" t="s">
        <v>281</v>
      </c>
      <c r="C1" t="s">
        <v>60</v>
      </c>
      <c r="D1" t="s">
        <v>64</v>
      </c>
      <c r="E1" t="s">
        <v>61</v>
      </c>
      <c r="F1" t="s">
        <v>62</v>
      </c>
      <c r="G1" t="s">
        <v>65</v>
      </c>
      <c r="H1" t="s">
        <v>63</v>
      </c>
      <c r="I1" t="s">
        <v>52</v>
      </c>
    </row>
    <row r="2" spans="1:9" x14ac:dyDescent="0.3">
      <c r="A2">
        <v>3</v>
      </c>
      <c r="B2" t="s">
        <v>308</v>
      </c>
      <c r="C2">
        <v>10</v>
      </c>
      <c r="D2" t="s">
        <v>20</v>
      </c>
      <c r="E2">
        <v>2</v>
      </c>
      <c r="F2">
        <v>23</v>
      </c>
      <c r="G2" t="s">
        <v>21</v>
      </c>
      <c r="H2">
        <v>2</v>
      </c>
      <c r="I2">
        <v>52.625000000000007</v>
      </c>
    </row>
    <row r="3" spans="1:9" x14ac:dyDescent="0.3">
      <c r="A3">
        <v>3</v>
      </c>
      <c r="B3" t="s">
        <v>308</v>
      </c>
      <c r="C3">
        <v>69</v>
      </c>
      <c r="D3" t="s">
        <v>31</v>
      </c>
      <c r="E3">
        <v>2</v>
      </c>
      <c r="F3">
        <v>23</v>
      </c>
      <c r="G3" t="s">
        <v>21</v>
      </c>
      <c r="H3">
        <v>2</v>
      </c>
      <c r="I3">
        <v>8.6250000000000018</v>
      </c>
    </row>
    <row r="4" spans="1:9" x14ac:dyDescent="0.3">
      <c r="A4">
        <v>3</v>
      </c>
      <c r="B4" t="s">
        <v>308</v>
      </c>
      <c r="C4">
        <v>63</v>
      </c>
      <c r="D4" t="s">
        <v>33</v>
      </c>
      <c r="E4">
        <v>2</v>
      </c>
      <c r="F4">
        <v>62</v>
      </c>
      <c r="G4" t="s">
        <v>23</v>
      </c>
      <c r="H4">
        <v>2</v>
      </c>
      <c r="I4">
        <v>1247.9166666666667</v>
      </c>
    </row>
    <row r="5" spans="1:9" x14ac:dyDescent="0.3">
      <c r="A5">
        <v>3</v>
      </c>
      <c r="B5" t="s">
        <v>308</v>
      </c>
      <c r="C5">
        <v>69</v>
      </c>
      <c r="D5" t="s">
        <v>31</v>
      </c>
      <c r="E5">
        <v>2</v>
      </c>
      <c r="F5">
        <v>63</v>
      </c>
      <c r="G5" t="s">
        <v>33</v>
      </c>
      <c r="H5">
        <v>2</v>
      </c>
      <c r="I5">
        <v>0.17968750000000003</v>
      </c>
    </row>
    <row r="6" spans="1:9" x14ac:dyDescent="0.3">
      <c r="A6">
        <v>3</v>
      </c>
      <c r="B6" t="s">
        <v>308</v>
      </c>
      <c r="C6">
        <v>23</v>
      </c>
      <c r="D6" t="s">
        <v>21</v>
      </c>
      <c r="E6">
        <v>2</v>
      </c>
      <c r="F6">
        <v>88</v>
      </c>
      <c r="G6" t="s">
        <v>24</v>
      </c>
      <c r="H6">
        <v>2</v>
      </c>
      <c r="I6">
        <v>826.98750000000007</v>
      </c>
    </row>
    <row r="7" spans="1:9" x14ac:dyDescent="0.3">
      <c r="A7">
        <v>3</v>
      </c>
      <c r="B7" t="s">
        <v>308</v>
      </c>
      <c r="C7">
        <v>23</v>
      </c>
      <c r="D7" t="s">
        <v>21</v>
      </c>
      <c r="E7">
        <v>2</v>
      </c>
      <c r="F7">
        <v>102</v>
      </c>
      <c r="G7" t="s">
        <v>18</v>
      </c>
      <c r="H7">
        <v>2</v>
      </c>
      <c r="I7">
        <v>165.39750000000004</v>
      </c>
    </row>
    <row r="8" spans="1:9" x14ac:dyDescent="0.3">
      <c r="A8">
        <v>3</v>
      </c>
      <c r="B8" t="s">
        <v>308</v>
      </c>
      <c r="C8">
        <v>62</v>
      </c>
      <c r="D8" t="s">
        <v>23</v>
      </c>
      <c r="E8">
        <v>2</v>
      </c>
      <c r="F8">
        <v>102</v>
      </c>
      <c r="G8" t="s">
        <v>18</v>
      </c>
      <c r="H8">
        <v>2</v>
      </c>
      <c r="I8">
        <v>31202.518</v>
      </c>
    </row>
    <row r="9" spans="1:9" x14ac:dyDescent="0.3">
      <c r="A9">
        <v>3</v>
      </c>
      <c r="B9" t="s">
        <v>308</v>
      </c>
      <c r="C9">
        <v>63</v>
      </c>
      <c r="D9" t="s">
        <v>33</v>
      </c>
      <c r="E9">
        <v>2</v>
      </c>
      <c r="F9">
        <v>102</v>
      </c>
      <c r="G9" t="s">
        <v>18</v>
      </c>
      <c r="H9">
        <v>2</v>
      </c>
      <c r="I9">
        <v>249.58333333333337</v>
      </c>
    </row>
    <row r="10" spans="1:9" x14ac:dyDescent="0.3">
      <c r="A10">
        <v>3</v>
      </c>
      <c r="B10" t="s">
        <v>308</v>
      </c>
      <c r="C10">
        <v>88</v>
      </c>
      <c r="D10" t="s">
        <v>24</v>
      </c>
      <c r="E10">
        <v>2</v>
      </c>
      <c r="F10">
        <v>102</v>
      </c>
      <c r="G10" t="s">
        <v>18</v>
      </c>
      <c r="H10">
        <v>2</v>
      </c>
      <c r="I10">
        <v>8126.4911666666667</v>
      </c>
    </row>
    <row r="11" spans="1:9" x14ac:dyDescent="0.3">
      <c r="A11">
        <v>3</v>
      </c>
      <c r="B11" t="s">
        <v>308</v>
      </c>
      <c r="C11">
        <v>121</v>
      </c>
      <c r="D11" t="s">
        <v>22</v>
      </c>
      <c r="E11">
        <v>2</v>
      </c>
      <c r="F11">
        <v>102</v>
      </c>
      <c r="G11" t="s">
        <v>18</v>
      </c>
      <c r="H11">
        <v>2</v>
      </c>
      <c r="I11">
        <v>96.262500000000017</v>
      </c>
    </row>
    <row r="12" spans="1:9" x14ac:dyDescent="0.3">
      <c r="A12">
        <v>3</v>
      </c>
      <c r="B12" t="s">
        <v>308</v>
      </c>
      <c r="C12">
        <v>145</v>
      </c>
      <c r="D12" t="s">
        <v>19</v>
      </c>
      <c r="E12">
        <v>2</v>
      </c>
      <c r="F12">
        <v>102</v>
      </c>
      <c r="G12" t="s">
        <v>18</v>
      </c>
      <c r="H12">
        <v>2</v>
      </c>
      <c r="I12">
        <v>338.83958333333339</v>
      </c>
    </row>
    <row r="13" spans="1:9" x14ac:dyDescent="0.3">
      <c r="A13">
        <v>3</v>
      </c>
      <c r="B13" t="s">
        <v>308</v>
      </c>
      <c r="C13">
        <v>121</v>
      </c>
      <c r="D13" t="s">
        <v>22</v>
      </c>
      <c r="E13">
        <v>2</v>
      </c>
      <c r="F13">
        <v>116</v>
      </c>
      <c r="G13" t="s">
        <v>34</v>
      </c>
      <c r="H13">
        <v>2</v>
      </c>
      <c r="I13">
        <v>64.175000000000011</v>
      </c>
    </row>
    <row r="14" spans="1:9" x14ac:dyDescent="0.3">
      <c r="A14">
        <v>3</v>
      </c>
      <c r="B14" t="s">
        <v>308</v>
      </c>
      <c r="C14">
        <v>69</v>
      </c>
      <c r="D14" t="s">
        <v>31</v>
      </c>
      <c r="E14">
        <v>2</v>
      </c>
      <c r="F14">
        <v>121</v>
      </c>
      <c r="G14" t="s">
        <v>22</v>
      </c>
      <c r="H14">
        <v>2</v>
      </c>
      <c r="I14">
        <v>11.500000000000002</v>
      </c>
    </row>
    <row r="15" spans="1:9" x14ac:dyDescent="0.3">
      <c r="A15">
        <v>3</v>
      </c>
      <c r="B15" t="s">
        <v>308</v>
      </c>
      <c r="C15">
        <v>62</v>
      </c>
      <c r="D15" t="s">
        <v>23</v>
      </c>
      <c r="E15">
        <v>2</v>
      </c>
      <c r="F15">
        <v>145</v>
      </c>
      <c r="G15" t="s">
        <v>19</v>
      </c>
      <c r="H15">
        <v>2</v>
      </c>
      <c r="I15">
        <v>780.06295</v>
      </c>
    </row>
    <row r="16" spans="1:9" x14ac:dyDescent="0.3">
      <c r="A16">
        <v>3</v>
      </c>
      <c r="B16" t="s">
        <v>308</v>
      </c>
      <c r="C16">
        <v>88</v>
      </c>
      <c r="D16" t="s">
        <v>24</v>
      </c>
      <c r="E16">
        <v>2</v>
      </c>
      <c r="F16">
        <v>145</v>
      </c>
      <c r="G16" t="s">
        <v>19</v>
      </c>
      <c r="H16">
        <v>2</v>
      </c>
      <c r="I16">
        <v>406.32455833333336</v>
      </c>
    </row>
    <row r="17" spans="1:9" x14ac:dyDescent="0.3">
      <c r="A17">
        <v>4</v>
      </c>
      <c r="B17" t="s">
        <v>307</v>
      </c>
      <c r="C17">
        <v>93</v>
      </c>
      <c r="D17" t="s">
        <v>29</v>
      </c>
      <c r="E17">
        <v>0</v>
      </c>
      <c r="F17">
        <v>94</v>
      </c>
      <c r="G17" t="s">
        <v>28</v>
      </c>
      <c r="H17">
        <v>0</v>
      </c>
      <c r="I17">
        <v>457.04999999999995</v>
      </c>
    </row>
    <row r="18" spans="1:9" x14ac:dyDescent="0.3">
      <c r="A18">
        <v>4</v>
      </c>
      <c r="B18" t="s">
        <v>307</v>
      </c>
      <c r="C18">
        <v>134</v>
      </c>
      <c r="D18" t="s">
        <v>26</v>
      </c>
      <c r="E18">
        <v>0</v>
      </c>
      <c r="F18">
        <v>102</v>
      </c>
      <c r="G18" t="s">
        <v>18</v>
      </c>
      <c r="H18">
        <v>0</v>
      </c>
      <c r="I18">
        <v>41.33</v>
      </c>
    </row>
    <row r="19" spans="1:9" x14ac:dyDescent="0.3">
      <c r="A19">
        <v>4</v>
      </c>
      <c r="B19" t="s">
        <v>307</v>
      </c>
      <c r="C19">
        <v>145</v>
      </c>
      <c r="D19" t="s">
        <v>19</v>
      </c>
      <c r="E19">
        <v>0</v>
      </c>
      <c r="F19">
        <v>102</v>
      </c>
      <c r="G19" t="s">
        <v>18</v>
      </c>
      <c r="H19">
        <v>0</v>
      </c>
      <c r="I19">
        <v>325.28600000000006</v>
      </c>
    </row>
    <row r="20" spans="1:9" x14ac:dyDescent="0.3">
      <c r="A20">
        <v>4</v>
      </c>
      <c r="B20" t="s">
        <v>307</v>
      </c>
      <c r="C20">
        <v>94</v>
      </c>
      <c r="D20" t="s">
        <v>28</v>
      </c>
      <c r="E20">
        <v>0</v>
      </c>
      <c r="F20">
        <v>120</v>
      </c>
      <c r="G20" t="s">
        <v>25</v>
      </c>
      <c r="H20">
        <v>0</v>
      </c>
      <c r="I20">
        <v>297.61599999999999</v>
      </c>
    </row>
    <row r="21" spans="1:9" x14ac:dyDescent="0.3">
      <c r="A21">
        <v>4</v>
      </c>
      <c r="B21" t="s">
        <v>307</v>
      </c>
      <c r="C21">
        <v>135</v>
      </c>
      <c r="D21" t="s">
        <v>27</v>
      </c>
      <c r="E21">
        <v>0</v>
      </c>
      <c r="F21">
        <v>120</v>
      </c>
      <c r="G21" t="s">
        <v>25</v>
      </c>
      <c r="H21">
        <v>0</v>
      </c>
      <c r="I21">
        <v>129.4</v>
      </c>
    </row>
    <row r="22" spans="1:9" x14ac:dyDescent="0.3">
      <c r="A22">
        <v>4</v>
      </c>
      <c r="B22" t="s">
        <v>307</v>
      </c>
      <c r="C22">
        <v>93</v>
      </c>
      <c r="D22" t="s">
        <v>29</v>
      </c>
      <c r="E22">
        <v>0</v>
      </c>
      <c r="F22">
        <v>134</v>
      </c>
      <c r="G22" t="s">
        <v>26</v>
      </c>
      <c r="H22">
        <v>0</v>
      </c>
      <c r="I22">
        <v>91.41</v>
      </c>
    </row>
    <row r="23" spans="1:9" x14ac:dyDescent="0.3">
      <c r="A23">
        <v>4</v>
      </c>
      <c r="B23" t="s">
        <v>307</v>
      </c>
      <c r="C23">
        <v>134</v>
      </c>
      <c r="D23" t="s">
        <v>26</v>
      </c>
      <c r="E23">
        <v>0</v>
      </c>
      <c r="F23">
        <v>135</v>
      </c>
      <c r="G23" t="s">
        <v>27</v>
      </c>
      <c r="H23">
        <v>0</v>
      </c>
      <c r="I23">
        <v>82.66</v>
      </c>
    </row>
    <row r="24" spans="1:9" x14ac:dyDescent="0.3">
      <c r="A24">
        <v>4</v>
      </c>
      <c r="B24" t="s">
        <v>307</v>
      </c>
      <c r="C24">
        <v>94</v>
      </c>
      <c r="D24" t="s">
        <v>28</v>
      </c>
      <c r="E24">
        <v>0</v>
      </c>
      <c r="F24">
        <v>145</v>
      </c>
      <c r="G24" t="s">
        <v>19</v>
      </c>
      <c r="H24">
        <v>0</v>
      </c>
      <c r="I24">
        <v>892.84799999999996</v>
      </c>
    </row>
    <row r="25" spans="1:9" x14ac:dyDescent="0.3">
      <c r="A25">
        <v>4</v>
      </c>
      <c r="B25" t="s">
        <v>307</v>
      </c>
      <c r="C25">
        <v>120</v>
      </c>
      <c r="D25" t="s">
        <v>25</v>
      </c>
      <c r="E25">
        <v>0</v>
      </c>
      <c r="F25">
        <v>145</v>
      </c>
      <c r="G25" t="s">
        <v>19</v>
      </c>
      <c r="H25">
        <v>0</v>
      </c>
      <c r="I25">
        <v>17.792600000000004</v>
      </c>
    </row>
    <row r="26" spans="1:9" x14ac:dyDescent="0.3">
      <c r="A26">
        <v>4</v>
      </c>
      <c r="B26" t="s">
        <v>307</v>
      </c>
      <c r="C26">
        <v>135</v>
      </c>
      <c r="D26" t="s">
        <v>27</v>
      </c>
      <c r="E26">
        <v>0</v>
      </c>
      <c r="F26">
        <v>145</v>
      </c>
      <c r="G26" t="s">
        <v>19</v>
      </c>
      <c r="H26">
        <v>0</v>
      </c>
      <c r="I26">
        <v>388.20000000000005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66</v>
      </c>
      <c r="B1" t="s">
        <v>67</v>
      </c>
    </row>
    <row r="2" spans="1:2" x14ac:dyDescent="0.3">
      <c r="A2">
        <v>1</v>
      </c>
      <c r="B2" t="s">
        <v>68</v>
      </c>
    </row>
    <row r="3" spans="1:2" x14ac:dyDescent="0.3">
      <c r="A3">
        <v>2</v>
      </c>
      <c r="B3" t="s">
        <v>69</v>
      </c>
    </row>
    <row r="4" spans="1:2" x14ac:dyDescent="0.3">
      <c r="A4">
        <v>3</v>
      </c>
      <c r="B4" t="s">
        <v>70</v>
      </c>
    </row>
    <row r="5" spans="1:2" x14ac:dyDescent="0.3">
      <c r="A5">
        <v>4</v>
      </c>
      <c r="B5" t="s">
        <v>71</v>
      </c>
    </row>
    <row r="6" spans="1:2" x14ac:dyDescent="0.3">
      <c r="A6">
        <v>5</v>
      </c>
      <c r="B6" t="s">
        <v>72</v>
      </c>
    </row>
    <row r="7" spans="1:2" x14ac:dyDescent="0.3">
      <c r="A7">
        <v>6</v>
      </c>
      <c r="B7" t="s">
        <v>73</v>
      </c>
    </row>
    <row r="8" spans="1:2" x14ac:dyDescent="0.3">
      <c r="A8">
        <v>7</v>
      </c>
      <c r="B8" t="s">
        <v>74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75</v>
      </c>
    </row>
    <row r="11" spans="1:2" x14ac:dyDescent="0.3">
      <c r="A11">
        <v>10</v>
      </c>
      <c r="B11" t="s">
        <v>76</v>
      </c>
    </row>
    <row r="12" spans="1:2" x14ac:dyDescent="0.3">
      <c r="A12">
        <v>11</v>
      </c>
      <c r="B12" t="s">
        <v>77</v>
      </c>
    </row>
    <row r="13" spans="1:2" x14ac:dyDescent="0.3">
      <c r="A13">
        <v>12</v>
      </c>
      <c r="B13" t="s">
        <v>78</v>
      </c>
    </row>
    <row r="14" spans="1:2" x14ac:dyDescent="0.3">
      <c r="A14">
        <v>13</v>
      </c>
      <c r="B14" t="s">
        <v>79</v>
      </c>
    </row>
    <row r="15" spans="1:2" x14ac:dyDescent="0.3">
      <c r="A15">
        <v>14</v>
      </c>
      <c r="B15" t="s">
        <v>80</v>
      </c>
    </row>
    <row r="16" spans="1:2" x14ac:dyDescent="0.3">
      <c r="A16">
        <v>15</v>
      </c>
      <c r="B16" t="s">
        <v>81</v>
      </c>
    </row>
    <row r="17" spans="1:2" x14ac:dyDescent="0.3">
      <c r="A17">
        <v>16</v>
      </c>
      <c r="B17" t="s">
        <v>82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83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84</v>
      </c>
    </row>
    <row r="23" spans="1:2" x14ac:dyDescent="0.3">
      <c r="A23">
        <v>22</v>
      </c>
      <c r="B23" t="s">
        <v>85</v>
      </c>
    </row>
    <row r="24" spans="1:2" x14ac:dyDescent="0.3">
      <c r="A24">
        <v>23</v>
      </c>
      <c r="B24" t="s">
        <v>86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87</v>
      </c>
    </row>
    <row r="27" spans="1:2" x14ac:dyDescent="0.3">
      <c r="A27">
        <v>26</v>
      </c>
      <c r="B27" t="s">
        <v>88</v>
      </c>
    </row>
    <row r="28" spans="1:2" x14ac:dyDescent="0.3">
      <c r="A28">
        <v>27</v>
      </c>
      <c r="B28" t="s">
        <v>89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90</v>
      </c>
    </row>
    <row r="31" spans="1:2" x14ac:dyDescent="0.3">
      <c r="A31">
        <v>30</v>
      </c>
      <c r="B31" t="s">
        <v>91</v>
      </c>
    </row>
    <row r="32" spans="1:2" x14ac:dyDescent="0.3">
      <c r="A32">
        <v>31</v>
      </c>
      <c r="B32" t="s">
        <v>92</v>
      </c>
    </row>
    <row r="33" spans="1:2" x14ac:dyDescent="0.3">
      <c r="A33">
        <v>32</v>
      </c>
      <c r="B33" t="s">
        <v>93</v>
      </c>
    </row>
    <row r="34" spans="1:2" x14ac:dyDescent="0.3">
      <c r="A34">
        <v>33</v>
      </c>
      <c r="B34" t="s">
        <v>94</v>
      </c>
    </row>
    <row r="35" spans="1:2" x14ac:dyDescent="0.3">
      <c r="A35">
        <v>34</v>
      </c>
      <c r="B35" t="s">
        <v>95</v>
      </c>
    </row>
    <row r="36" spans="1:2" x14ac:dyDescent="0.3">
      <c r="A36">
        <v>35</v>
      </c>
      <c r="B36" t="s">
        <v>96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97</v>
      </c>
    </row>
    <row r="39" spans="1:2" x14ac:dyDescent="0.3">
      <c r="A39">
        <v>38</v>
      </c>
      <c r="B39" t="s">
        <v>98</v>
      </c>
    </row>
    <row r="40" spans="1:2" x14ac:dyDescent="0.3">
      <c r="A40">
        <v>39</v>
      </c>
      <c r="B40" t="s">
        <v>99</v>
      </c>
    </row>
    <row r="41" spans="1:2" x14ac:dyDescent="0.3">
      <c r="A41">
        <v>40</v>
      </c>
      <c r="B41" t="s">
        <v>100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101</v>
      </c>
    </row>
    <row r="44" spans="1:2" x14ac:dyDescent="0.3">
      <c r="A44">
        <v>43</v>
      </c>
      <c r="B44" t="s">
        <v>102</v>
      </c>
    </row>
    <row r="45" spans="1:2" x14ac:dyDescent="0.3">
      <c r="A45">
        <v>44</v>
      </c>
      <c r="B45" t="s">
        <v>103</v>
      </c>
    </row>
    <row r="46" spans="1:2" x14ac:dyDescent="0.3">
      <c r="A46">
        <v>45</v>
      </c>
      <c r="B46" t="s">
        <v>104</v>
      </c>
    </row>
    <row r="47" spans="1:2" x14ac:dyDescent="0.3">
      <c r="A47">
        <v>46</v>
      </c>
      <c r="B47" t="s">
        <v>105</v>
      </c>
    </row>
    <row r="48" spans="1:2" x14ac:dyDescent="0.3">
      <c r="A48">
        <v>47</v>
      </c>
      <c r="B48" t="s">
        <v>106</v>
      </c>
    </row>
    <row r="49" spans="1:2" x14ac:dyDescent="0.3">
      <c r="A49">
        <v>48</v>
      </c>
      <c r="B49" t="s">
        <v>107</v>
      </c>
    </row>
    <row r="50" spans="1:2" x14ac:dyDescent="0.3">
      <c r="A50">
        <v>49</v>
      </c>
      <c r="B50" t="s">
        <v>108</v>
      </c>
    </row>
    <row r="51" spans="1:2" x14ac:dyDescent="0.3">
      <c r="A51">
        <v>50</v>
      </c>
      <c r="B51" t="s">
        <v>109</v>
      </c>
    </row>
    <row r="52" spans="1:2" x14ac:dyDescent="0.3">
      <c r="A52">
        <v>51</v>
      </c>
      <c r="B52" t="s">
        <v>110</v>
      </c>
    </row>
    <row r="53" spans="1:2" x14ac:dyDescent="0.3">
      <c r="A53">
        <v>52</v>
      </c>
      <c r="B53" t="s">
        <v>111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112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113</v>
      </c>
    </row>
    <row r="2" spans="1:2" x14ac:dyDescent="0.3">
      <c r="A2">
        <v>1</v>
      </c>
      <c r="B2" t="s">
        <v>114</v>
      </c>
    </row>
    <row r="3" spans="1:2" x14ac:dyDescent="0.3">
      <c r="A3">
        <v>2</v>
      </c>
      <c r="B3" t="s">
        <v>115</v>
      </c>
    </row>
    <row r="4" spans="1:2" x14ac:dyDescent="0.3">
      <c r="A4">
        <v>3</v>
      </c>
      <c r="B4" t="s">
        <v>116</v>
      </c>
    </row>
    <row r="5" spans="1:2" x14ac:dyDescent="0.3">
      <c r="A5">
        <v>4</v>
      </c>
      <c r="B5" t="s">
        <v>117</v>
      </c>
    </row>
    <row r="6" spans="1:2" x14ac:dyDescent="0.3">
      <c r="A6">
        <v>5</v>
      </c>
      <c r="B6" t="s">
        <v>118</v>
      </c>
    </row>
    <row r="7" spans="1:2" x14ac:dyDescent="0.3">
      <c r="A7">
        <v>6</v>
      </c>
      <c r="B7" t="s">
        <v>119</v>
      </c>
    </row>
    <row r="8" spans="1:2" x14ac:dyDescent="0.3">
      <c r="A8">
        <v>7</v>
      </c>
      <c r="B8" t="s">
        <v>120</v>
      </c>
    </row>
    <row r="9" spans="1:2" x14ac:dyDescent="0.3">
      <c r="A9">
        <v>8</v>
      </c>
      <c r="B9" t="s">
        <v>121</v>
      </c>
    </row>
    <row r="10" spans="1:2" x14ac:dyDescent="0.3">
      <c r="A10">
        <v>9</v>
      </c>
      <c r="B10" t="s">
        <v>123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124</v>
      </c>
    </row>
    <row r="13" spans="1:2" x14ac:dyDescent="0.3">
      <c r="A13">
        <v>12</v>
      </c>
      <c r="B13" t="s">
        <v>122</v>
      </c>
    </row>
    <row r="14" spans="1:2" x14ac:dyDescent="0.3">
      <c r="A14">
        <v>13</v>
      </c>
      <c r="B14" t="s">
        <v>125</v>
      </c>
    </row>
    <row r="15" spans="1:2" x14ac:dyDescent="0.3">
      <c r="A15">
        <v>14</v>
      </c>
      <c r="B15" t="s">
        <v>126</v>
      </c>
    </row>
    <row r="16" spans="1:2" x14ac:dyDescent="0.3">
      <c r="A16">
        <v>15</v>
      </c>
      <c r="B16" t="s">
        <v>127</v>
      </c>
    </row>
    <row r="17" spans="1:2" x14ac:dyDescent="0.3">
      <c r="A17">
        <v>16</v>
      </c>
      <c r="B17" t="s">
        <v>128</v>
      </c>
    </row>
    <row r="18" spans="1:2" x14ac:dyDescent="0.3">
      <c r="A18">
        <v>17</v>
      </c>
      <c r="B18" t="s">
        <v>129</v>
      </c>
    </row>
    <row r="19" spans="1:2" x14ac:dyDescent="0.3">
      <c r="A19">
        <v>18</v>
      </c>
      <c r="B19" t="s">
        <v>130</v>
      </c>
    </row>
    <row r="20" spans="1:2" x14ac:dyDescent="0.3">
      <c r="A20">
        <v>19</v>
      </c>
      <c r="B20" t="s">
        <v>131</v>
      </c>
    </row>
    <row r="21" spans="1:2" x14ac:dyDescent="0.3">
      <c r="A21">
        <v>20</v>
      </c>
      <c r="B21" t="s">
        <v>132</v>
      </c>
    </row>
    <row r="22" spans="1:2" x14ac:dyDescent="0.3">
      <c r="A22">
        <v>21</v>
      </c>
      <c r="B22" t="s">
        <v>133</v>
      </c>
    </row>
    <row r="23" spans="1:2" x14ac:dyDescent="0.3">
      <c r="A23">
        <v>22</v>
      </c>
      <c r="B23" t="s">
        <v>134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135</v>
      </c>
    </row>
    <row r="26" spans="1:2" x14ac:dyDescent="0.3">
      <c r="A26">
        <v>25</v>
      </c>
      <c r="B26" t="s">
        <v>136</v>
      </c>
    </row>
    <row r="27" spans="1:2" x14ac:dyDescent="0.3">
      <c r="A27">
        <v>26</v>
      </c>
      <c r="B27" t="s">
        <v>137</v>
      </c>
    </row>
    <row r="28" spans="1:2" x14ac:dyDescent="0.3">
      <c r="A28">
        <v>27</v>
      </c>
      <c r="B28" t="s">
        <v>138</v>
      </c>
    </row>
    <row r="29" spans="1:2" x14ac:dyDescent="0.3">
      <c r="A29">
        <v>28</v>
      </c>
      <c r="B29" t="s">
        <v>139</v>
      </c>
    </row>
    <row r="30" spans="1:2" x14ac:dyDescent="0.3">
      <c r="A30">
        <v>29</v>
      </c>
      <c r="B30" t="s">
        <v>140</v>
      </c>
    </row>
    <row r="31" spans="1:2" x14ac:dyDescent="0.3">
      <c r="A31">
        <v>30</v>
      </c>
      <c r="B31" t="s">
        <v>141</v>
      </c>
    </row>
    <row r="32" spans="1:2" x14ac:dyDescent="0.3">
      <c r="A32">
        <v>31</v>
      </c>
      <c r="B32" t="s">
        <v>142</v>
      </c>
    </row>
    <row r="33" spans="1:2" x14ac:dyDescent="0.3">
      <c r="A33">
        <v>32</v>
      </c>
      <c r="B33" t="s">
        <v>143</v>
      </c>
    </row>
    <row r="34" spans="1:2" x14ac:dyDescent="0.3">
      <c r="A34">
        <v>33</v>
      </c>
      <c r="B34" t="s">
        <v>144</v>
      </c>
    </row>
    <row r="35" spans="1:2" x14ac:dyDescent="0.3">
      <c r="A35">
        <v>34</v>
      </c>
      <c r="B35" t="s">
        <v>145</v>
      </c>
    </row>
    <row r="36" spans="1:2" x14ac:dyDescent="0.3">
      <c r="A36">
        <v>35</v>
      </c>
      <c r="B36" t="s">
        <v>146</v>
      </c>
    </row>
    <row r="37" spans="1:2" x14ac:dyDescent="0.3">
      <c r="A37">
        <v>36</v>
      </c>
      <c r="B37" t="s">
        <v>147</v>
      </c>
    </row>
    <row r="38" spans="1:2" x14ac:dyDescent="0.3">
      <c r="A38">
        <v>37</v>
      </c>
      <c r="B38" t="s">
        <v>148</v>
      </c>
    </row>
    <row r="39" spans="1:2" x14ac:dyDescent="0.3">
      <c r="A39">
        <v>38</v>
      </c>
      <c r="B39" t="s">
        <v>149</v>
      </c>
    </row>
    <row r="40" spans="1:2" x14ac:dyDescent="0.3">
      <c r="A40">
        <v>39</v>
      </c>
      <c r="B40" t="s">
        <v>150</v>
      </c>
    </row>
    <row r="41" spans="1:2" x14ac:dyDescent="0.3">
      <c r="A41">
        <v>40</v>
      </c>
      <c r="B41" t="s">
        <v>151</v>
      </c>
    </row>
    <row r="42" spans="1:2" x14ac:dyDescent="0.3">
      <c r="A42">
        <v>41</v>
      </c>
      <c r="B42" t="s">
        <v>152</v>
      </c>
    </row>
    <row r="43" spans="1:2" x14ac:dyDescent="0.3">
      <c r="A43">
        <v>42</v>
      </c>
      <c r="B43" t="s">
        <v>153</v>
      </c>
    </row>
    <row r="44" spans="1:2" x14ac:dyDescent="0.3">
      <c r="A44">
        <v>43</v>
      </c>
      <c r="B44" t="s">
        <v>154</v>
      </c>
    </row>
    <row r="45" spans="1:2" x14ac:dyDescent="0.3">
      <c r="A45">
        <v>44</v>
      </c>
      <c r="B45" t="s">
        <v>155</v>
      </c>
    </row>
    <row r="46" spans="1:2" x14ac:dyDescent="0.3">
      <c r="A46">
        <v>45</v>
      </c>
      <c r="B46" t="s">
        <v>156</v>
      </c>
    </row>
    <row r="47" spans="1:2" x14ac:dyDescent="0.3">
      <c r="A47">
        <v>46</v>
      </c>
      <c r="B47" t="s">
        <v>157</v>
      </c>
    </row>
    <row r="48" spans="1:2" x14ac:dyDescent="0.3">
      <c r="A48">
        <v>47</v>
      </c>
      <c r="B48" t="s">
        <v>158</v>
      </c>
    </row>
    <row r="49" spans="1:2" x14ac:dyDescent="0.3">
      <c r="A49">
        <v>48</v>
      </c>
      <c r="B49" t="s">
        <v>159</v>
      </c>
    </row>
    <row r="50" spans="1:2" x14ac:dyDescent="0.3">
      <c r="A50">
        <v>49</v>
      </c>
      <c r="B50" t="s">
        <v>160</v>
      </c>
    </row>
    <row r="51" spans="1:2" x14ac:dyDescent="0.3">
      <c r="A51">
        <v>50</v>
      </c>
      <c r="B51" t="s">
        <v>161</v>
      </c>
    </row>
    <row r="52" spans="1:2" x14ac:dyDescent="0.3">
      <c r="A52">
        <v>51</v>
      </c>
      <c r="B52" t="s">
        <v>162</v>
      </c>
    </row>
    <row r="53" spans="1:2" x14ac:dyDescent="0.3">
      <c r="A53">
        <v>52</v>
      </c>
      <c r="B53" t="s">
        <v>163</v>
      </c>
    </row>
    <row r="54" spans="1:2" x14ac:dyDescent="0.3">
      <c r="A54">
        <v>53</v>
      </c>
      <c r="B54" t="s">
        <v>164</v>
      </c>
    </row>
    <row r="55" spans="1:2" x14ac:dyDescent="0.3">
      <c r="A55">
        <v>54</v>
      </c>
      <c r="B55" t="s">
        <v>165</v>
      </c>
    </row>
    <row r="56" spans="1:2" x14ac:dyDescent="0.3">
      <c r="A56">
        <v>55</v>
      </c>
      <c r="B56" t="s">
        <v>166</v>
      </c>
    </row>
    <row r="57" spans="1:2" x14ac:dyDescent="0.3">
      <c r="A57">
        <v>56</v>
      </c>
      <c r="B57" t="s">
        <v>167</v>
      </c>
    </row>
    <row r="58" spans="1:2" x14ac:dyDescent="0.3">
      <c r="A58">
        <v>57</v>
      </c>
      <c r="B58" t="s">
        <v>168</v>
      </c>
    </row>
    <row r="59" spans="1:2" x14ac:dyDescent="0.3">
      <c r="A59">
        <v>58</v>
      </c>
      <c r="B59" t="s">
        <v>169</v>
      </c>
    </row>
    <row r="60" spans="1:2" x14ac:dyDescent="0.3">
      <c r="A60">
        <v>59</v>
      </c>
      <c r="B60" t="s">
        <v>170</v>
      </c>
    </row>
    <row r="61" spans="1:2" x14ac:dyDescent="0.3">
      <c r="A61">
        <v>60</v>
      </c>
      <c r="B61" t="s">
        <v>171</v>
      </c>
    </row>
    <row r="62" spans="1:2" x14ac:dyDescent="0.3">
      <c r="A62">
        <v>61</v>
      </c>
      <c r="B62" t="s">
        <v>172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173</v>
      </c>
    </row>
    <row r="66" spans="1:2" x14ac:dyDescent="0.3">
      <c r="A66">
        <v>65</v>
      </c>
      <c r="B66" t="s">
        <v>174</v>
      </c>
    </row>
    <row r="67" spans="1:2" x14ac:dyDescent="0.3">
      <c r="A67">
        <v>66</v>
      </c>
      <c r="B67" t="s">
        <v>175</v>
      </c>
    </row>
    <row r="68" spans="1:2" x14ac:dyDescent="0.3">
      <c r="A68">
        <v>67</v>
      </c>
      <c r="B68" t="s">
        <v>176</v>
      </c>
    </row>
    <row r="69" spans="1:2" x14ac:dyDescent="0.3">
      <c r="A69">
        <v>68</v>
      </c>
      <c r="B69" t="s">
        <v>177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178</v>
      </c>
    </row>
    <row r="72" spans="1:2" x14ac:dyDescent="0.3">
      <c r="A72">
        <v>71</v>
      </c>
      <c r="B72" t="s">
        <v>179</v>
      </c>
    </row>
    <row r="73" spans="1:2" x14ac:dyDescent="0.3">
      <c r="A73">
        <v>72</v>
      </c>
      <c r="B73" t="s">
        <v>180</v>
      </c>
    </row>
    <row r="74" spans="1:2" x14ac:dyDescent="0.3">
      <c r="A74">
        <v>73</v>
      </c>
      <c r="B74" t="s">
        <v>181</v>
      </c>
    </row>
    <row r="75" spans="1:2" x14ac:dyDescent="0.3">
      <c r="A75">
        <v>74</v>
      </c>
      <c r="B75" t="s">
        <v>182</v>
      </c>
    </row>
    <row r="76" spans="1:2" x14ac:dyDescent="0.3">
      <c r="A76">
        <v>75</v>
      </c>
      <c r="B76" t="s">
        <v>183</v>
      </c>
    </row>
    <row r="77" spans="1:2" x14ac:dyDescent="0.3">
      <c r="A77">
        <v>76</v>
      </c>
      <c r="B77" t="s">
        <v>184</v>
      </c>
    </row>
    <row r="78" spans="1:2" x14ac:dyDescent="0.3">
      <c r="A78">
        <v>77</v>
      </c>
      <c r="B78" t="s">
        <v>185</v>
      </c>
    </row>
    <row r="79" spans="1:2" x14ac:dyDescent="0.3">
      <c r="A79">
        <v>78</v>
      </c>
      <c r="B79" t="s">
        <v>186</v>
      </c>
    </row>
    <row r="80" spans="1:2" x14ac:dyDescent="0.3">
      <c r="A80">
        <v>79</v>
      </c>
      <c r="B80" t="s">
        <v>187</v>
      </c>
    </row>
    <row r="81" spans="1:2" x14ac:dyDescent="0.3">
      <c r="A81">
        <v>80</v>
      </c>
      <c r="B81" t="s">
        <v>188</v>
      </c>
    </row>
    <row r="82" spans="1:2" x14ac:dyDescent="0.3">
      <c r="A82">
        <v>81</v>
      </c>
      <c r="B82" t="s">
        <v>189</v>
      </c>
    </row>
    <row r="83" spans="1:2" x14ac:dyDescent="0.3">
      <c r="A83">
        <v>82</v>
      </c>
      <c r="B83" t="s">
        <v>190</v>
      </c>
    </row>
    <row r="84" spans="1:2" x14ac:dyDescent="0.3">
      <c r="A84">
        <v>83</v>
      </c>
      <c r="B84" t="s">
        <v>191</v>
      </c>
    </row>
    <row r="85" spans="1:2" x14ac:dyDescent="0.3">
      <c r="A85">
        <v>84</v>
      </c>
      <c r="B85" t="s">
        <v>192</v>
      </c>
    </row>
    <row r="86" spans="1:2" x14ac:dyDescent="0.3">
      <c r="A86">
        <v>85</v>
      </c>
      <c r="B86" t="s">
        <v>193</v>
      </c>
    </row>
    <row r="87" spans="1:2" x14ac:dyDescent="0.3">
      <c r="A87">
        <v>86</v>
      </c>
      <c r="B87" t="s">
        <v>194</v>
      </c>
    </row>
    <row r="88" spans="1:2" x14ac:dyDescent="0.3">
      <c r="A88">
        <v>87</v>
      </c>
      <c r="B88" t="s">
        <v>195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196</v>
      </c>
    </row>
    <row r="91" spans="1:2" x14ac:dyDescent="0.3">
      <c r="A91">
        <v>90</v>
      </c>
      <c r="B91" t="s">
        <v>197</v>
      </c>
    </row>
    <row r="92" spans="1:2" x14ac:dyDescent="0.3">
      <c r="A92">
        <v>91</v>
      </c>
      <c r="B92" t="s">
        <v>198</v>
      </c>
    </row>
    <row r="93" spans="1:2" x14ac:dyDescent="0.3">
      <c r="A93">
        <v>92</v>
      </c>
      <c r="B93" t="s">
        <v>199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200</v>
      </c>
    </row>
    <row r="97" spans="1:2" x14ac:dyDescent="0.3">
      <c r="A97">
        <v>96</v>
      </c>
      <c r="B97" t="s">
        <v>201</v>
      </c>
    </row>
    <row r="98" spans="1:2" x14ac:dyDescent="0.3">
      <c r="A98">
        <v>97</v>
      </c>
      <c r="B98" t="s">
        <v>202</v>
      </c>
    </row>
    <row r="99" spans="1:2" x14ac:dyDescent="0.3">
      <c r="A99">
        <v>98</v>
      </c>
      <c r="B99" t="s">
        <v>203</v>
      </c>
    </row>
    <row r="100" spans="1:2" x14ac:dyDescent="0.3">
      <c r="A100">
        <v>99</v>
      </c>
      <c r="B100" t="s">
        <v>204</v>
      </c>
    </row>
    <row r="101" spans="1:2" x14ac:dyDescent="0.3">
      <c r="A101">
        <v>100</v>
      </c>
      <c r="B101" t="s">
        <v>205</v>
      </c>
    </row>
    <row r="102" spans="1:2" x14ac:dyDescent="0.3">
      <c r="A102">
        <v>101</v>
      </c>
      <c r="B102" t="s">
        <v>206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207</v>
      </c>
    </row>
    <row r="105" spans="1:2" x14ac:dyDescent="0.3">
      <c r="A105">
        <v>104</v>
      </c>
      <c r="B105" t="s">
        <v>208</v>
      </c>
    </row>
    <row r="106" spans="1:2" x14ac:dyDescent="0.3">
      <c r="A106">
        <v>105</v>
      </c>
      <c r="B106" t="s">
        <v>209</v>
      </c>
    </row>
    <row r="107" spans="1:2" x14ac:dyDescent="0.3">
      <c r="A107">
        <v>106</v>
      </c>
      <c r="B107" t="s">
        <v>210</v>
      </c>
    </row>
    <row r="108" spans="1:2" x14ac:dyDescent="0.3">
      <c r="A108">
        <v>107</v>
      </c>
      <c r="B108" t="s">
        <v>211</v>
      </c>
    </row>
    <row r="109" spans="1:2" x14ac:dyDescent="0.3">
      <c r="A109">
        <v>108</v>
      </c>
      <c r="B109" t="s">
        <v>212</v>
      </c>
    </row>
    <row r="110" spans="1:2" x14ac:dyDescent="0.3">
      <c r="A110">
        <v>109</v>
      </c>
      <c r="B110" t="s">
        <v>213</v>
      </c>
    </row>
    <row r="111" spans="1:2" x14ac:dyDescent="0.3">
      <c r="A111">
        <v>110</v>
      </c>
      <c r="B111" t="s">
        <v>214</v>
      </c>
    </row>
    <row r="112" spans="1:2" x14ac:dyDescent="0.3">
      <c r="A112">
        <v>111</v>
      </c>
      <c r="B112" t="s">
        <v>215</v>
      </c>
    </row>
    <row r="113" spans="1:2" x14ac:dyDescent="0.3">
      <c r="A113">
        <v>112</v>
      </c>
      <c r="B113" t="s">
        <v>216</v>
      </c>
    </row>
    <row r="114" spans="1:2" x14ac:dyDescent="0.3">
      <c r="A114">
        <v>113</v>
      </c>
      <c r="B114" t="s">
        <v>217</v>
      </c>
    </row>
    <row r="115" spans="1:2" x14ac:dyDescent="0.3">
      <c r="A115">
        <v>114</v>
      </c>
      <c r="B115" t="s">
        <v>218</v>
      </c>
    </row>
    <row r="116" spans="1:2" x14ac:dyDescent="0.3">
      <c r="A116">
        <v>115</v>
      </c>
      <c r="B116" t="s">
        <v>219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220</v>
      </c>
    </row>
    <row r="119" spans="1:2" x14ac:dyDescent="0.3">
      <c r="A119">
        <v>118</v>
      </c>
      <c r="B119" t="s">
        <v>221</v>
      </c>
    </row>
    <row r="120" spans="1:2" x14ac:dyDescent="0.3">
      <c r="A120">
        <v>119</v>
      </c>
      <c r="B120" t="s">
        <v>222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223</v>
      </c>
    </row>
    <row r="124" spans="1:2" x14ac:dyDescent="0.3">
      <c r="A124">
        <v>123</v>
      </c>
      <c r="B124" t="s">
        <v>224</v>
      </c>
    </row>
    <row r="125" spans="1:2" x14ac:dyDescent="0.3">
      <c r="A125">
        <v>124</v>
      </c>
      <c r="B125" t="s">
        <v>225</v>
      </c>
    </row>
    <row r="126" spans="1:2" x14ac:dyDescent="0.3">
      <c r="A126">
        <v>125</v>
      </c>
      <c r="B126" t="s">
        <v>226</v>
      </c>
    </row>
    <row r="127" spans="1:2" x14ac:dyDescent="0.3">
      <c r="A127">
        <v>126</v>
      </c>
      <c r="B127" t="s">
        <v>227</v>
      </c>
    </row>
    <row r="128" spans="1:2" x14ac:dyDescent="0.3">
      <c r="A128">
        <v>127</v>
      </c>
      <c r="B128" t="s">
        <v>228</v>
      </c>
    </row>
    <row r="129" spans="1:2" x14ac:dyDescent="0.3">
      <c r="A129">
        <v>128</v>
      </c>
      <c r="B129" t="s">
        <v>229</v>
      </c>
    </row>
    <row r="130" spans="1:2" x14ac:dyDescent="0.3">
      <c r="A130">
        <v>129</v>
      </c>
      <c r="B130" t="s">
        <v>230</v>
      </c>
    </row>
    <row r="131" spans="1:2" x14ac:dyDescent="0.3">
      <c r="A131">
        <v>130</v>
      </c>
      <c r="B131" t="s">
        <v>231</v>
      </c>
    </row>
    <row r="132" spans="1:2" x14ac:dyDescent="0.3">
      <c r="A132">
        <v>131</v>
      </c>
      <c r="B132" t="s">
        <v>232</v>
      </c>
    </row>
    <row r="133" spans="1:2" x14ac:dyDescent="0.3">
      <c r="A133">
        <v>132</v>
      </c>
      <c r="B133" t="s">
        <v>233</v>
      </c>
    </row>
    <row r="134" spans="1:2" x14ac:dyDescent="0.3">
      <c r="A134">
        <v>133</v>
      </c>
      <c r="B134" t="s">
        <v>234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235</v>
      </c>
    </row>
    <row r="138" spans="1:2" x14ac:dyDescent="0.3">
      <c r="A138">
        <v>137</v>
      </c>
      <c r="B138" t="s">
        <v>236</v>
      </c>
    </row>
    <row r="139" spans="1:2" x14ac:dyDescent="0.3">
      <c r="A139">
        <v>138</v>
      </c>
      <c r="B139" t="s">
        <v>237</v>
      </c>
    </row>
    <row r="140" spans="1:2" x14ac:dyDescent="0.3">
      <c r="A140">
        <v>139</v>
      </c>
      <c r="B140" t="s">
        <v>37</v>
      </c>
    </row>
    <row r="141" spans="1:2" x14ac:dyDescent="0.3">
      <c r="A141">
        <v>140</v>
      </c>
      <c r="B141" t="s">
        <v>238</v>
      </c>
    </row>
    <row r="142" spans="1:2" x14ac:dyDescent="0.3">
      <c r="A142">
        <v>141</v>
      </c>
      <c r="B142" t="s">
        <v>239</v>
      </c>
    </row>
    <row r="143" spans="1:2" x14ac:dyDescent="0.3">
      <c r="A143">
        <v>142</v>
      </c>
      <c r="B143" t="s">
        <v>240</v>
      </c>
    </row>
    <row r="144" spans="1:2" x14ac:dyDescent="0.3">
      <c r="A144">
        <v>143</v>
      </c>
      <c r="B144" t="s">
        <v>241</v>
      </c>
    </row>
    <row r="145" spans="1:2" x14ac:dyDescent="0.3">
      <c r="A145">
        <v>144</v>
      </c>
      <c r="B145" t="s">
        <v>242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243</v>
      </c>
    </row>
    <row r="148" spans="1:2" x14ac:dyDescent="0.3">
      <c r="A148">
        <v>147</v>
      </c>
      <c r="B148" t="s">
        <v>244</v>
      </c>
    </row>
    <row r="149" spans="1:2" x14ac:dyDescent="0.3">
      <c r="A149">
        <v>148</v>
      </c>
      <c r="B149" t="s">
        <v>245</v>
      </c>
    </row>
    <row r="150" spans="1:2" x14ac:dyDescent="0.3">
      <c r="A150">
        <v>149</v>
      </c>
      <c r="B150" t="s">
        <v>246</v>
      </c>
    </row>
    <row r="151" spans="1:2" x14ac:dyDescent="0.3">
      <c r="A151">
        <v>150</v>
      </c>
      <c r="B151" t="s">
        <v>247</v>
      </c>
    </row>
    <row r="152" spans="1:2" x14ac:dyDescent="0.3">
      <c r="A152">
        <v>151</v>
      </c>
      <c r="B152" t="s">
        <v>248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249</v>
      </c>
      <c r="B1" t="s">
        <v>250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55</v>
      </c>
      <c r="B1" t="s">
        <v>251</v>
      </c>
    </row>
    <row r="2" spans="1:2" x14ac:dyDescent="0.3">
      <c r="A2">
        <v>1</v>
      </c>
      <c r="B2" t="s">
        <v>39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C4" sqref="C4"/>
    </sheetView>
  </sheetViews>
  <sheetFormatPr defaultRowHeight="16.5" x14ac:dyDescent="0.3"/>
  <sheetData>
    <row r="2" spans="2:2" x14ac:dyDescent="0.3">
      <c r="B2" t="s">
        <v>306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3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4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5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8</vt:i4>
      </vt:variant>
    </vt:vector>
  </HeadingPairs>
  <TitlesOfParts>
    <vt:vector size="31" baseType="lpstr">
      <vt:lpstr>Paths</vt:lpstr>
      <vt:lpstr>_ref_economic_phase</vt:lpstr>
      <vt:lpstr>Inputs</vt:lpstr>
      <vt:lpstr>Output</vt:lpstr>
      <vt:lpstr>plan_health</vt:lpstr>
      <vt:lpstr>constraint_type</vt:lpstr>
      <vt:lpstr>retail_unused_capacity</vt:lpstr>
      <vt:lpstr>product_role_classification</vt:lpstr>
      <vt:lpstr>product_flow_classification</vt:lpstr>
      <vt:lpstr>allocation_summary</vt:lpstr>
      <vt:lpstr>retail_bottleneck_detail</vt:lpstr>
      <vt:lpstr>retail_allocation_result</vt:lpstr>
      <vt:lpstr>clearing_result</vt:lpstr>
      <vt:lpstr>balance_plan</vt:lpstr>
      <vt:lpstr>production_intent</vt:lpstr>
      <vt:lpstr>view_retail_priority_path</vt:lpstr>
      <vt:lpstr>product_bom_consumption</vt:lpstr>
      <vt:lpstr>product_bom_demand_detail</vt:lpstr>
      <vt:lpstr>_ref_building</vt:lpstr>
      <vt:lpstr>_ref_product</vt:lpstr>
      <vt:lpstr>_ref_realm</vt:lpstr>
      <vt:lpstr>_ref_channel</vt:lpstr>
      <vt:lpstr>Help</vt:lpstr>
      <vt:lpstr>InstallationRoot</vt:lpstr>
      <vt:lpstr>MapStructureList</vt:lpstr>
      <vt:lpstr>nr_BuildingNames</vt:lpstr>
      <vt:lpstr>nr_ChannelNames</vt:lpstr>
      <vt:lpstr>nr_EconomicPhaseNames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2026-06-18T01:10:47Z</dcterms:modified>
  <cp:category/>
  <cp:contentStatus/>
</cp:coreProperties>
</file>