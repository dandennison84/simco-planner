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tables/table11.xml" ContentType="application/vnd.openxmlformats-officedocument.spreadsheetml.table+xml"/>
  <Override PartName="/xl/queryTables/queryTable2.xml" ContentType="application/vnd.openxmlformats-officedocument.spreadsheetml.queryTable+xml"/>
  <Override PartName="/xl/tables/table12.xml" ContentType="application/vnd.openxmlformats-officedocument.spreadsheetml.table+xml"/>
  <Override PartName="/xl/queryTables/queryTable3.xml" ContentType="application/vnd.openxmlformats-officedocument.spreadsheetml.query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6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de\Documents\simco-planner\runtime\"/>
    </mc:Choice>
  </mc:AlternateContent>
  <xr:revisionPtr revIDLastSave="0" documentId="13_ncr:1_{F6F0E3DD-0449-489A-883D-76395A011C46}" xr6:coauthVersionLast="47" xr6:coauthVersionMax="47" xr10:uidLastSave="{00000000-0000-0000-0000-000000000000}"/>
  <bookViews>
    <workbookView xWindow="-120" yWindow="-120" windowWidth="29040" windowHeight="15720" activeTab="2" xr2:uid="{005547BF-1833-45E8-9E6B-655A694EBD70}"/>
  </bookViews>
  <sheets>
    <sheet name="Paths" sheetId="150" r:id="rId1"/>
    <sheet name="_ref_economic_phase" sheetId="163" state="hidden" r:id="rId2"/>
    <sheet name="Inputs" sheetId="132" r:id="rId3"/>
    <sheet name="Output" sheetId="133" r:id="rId4"/>
    <sheet name="_out_product_production_capacit" sheetId="162" r:id="rId5"/>
    <sheet name="_out_product_bom_consumption" sheetId="154" r:id="rId6"/>
    <sheet name="_out_product_bom_demand_detail" sheetId="157" r:id="rId7"/>
    <sheet name="_out_balance_plan" sheetId="152" r:id="rId8"/>
    <sheet name="_out_clearing_result" sheetId="155" r:id="rId9"/>
    <sheet name="out_allocation_summary" sheetId="151" r:id="rId10"/>
    <sheet name="_ref_building" sheetId="158" state="hidden" r:id="rId11"/>
    <sheet name="_ref_product" sheetId="159" state="hidden" r:id="rId12"/>
    <sheet name="_ref_realm" sheetId="160" state="hidden" r:id="rId13"/>
    <sheet name="_ref_channel" sheetId="161" state="hidden" r:id="rId14"/>
    <sheet name="_out_retail_allocation_result" sheetId="164" r:id="rId15"/>
    <sheet name="Help" sheetId="141" r:id="rId16"/>
  </sheets>
  <definedNames>
    <definedName name="_xlpm.f" hidden="1" xlm="1">#NAME?</definedName>
    <definedName name="ExternalData_1" localSheetId="6" hidden="1">'_out_product_bom_demand_detail'!$A$1:$H$37</definedName>
    <definedName name="ExternalData_1" localSheetId="14" hidden="1">'_out_retail_allocation_result'!$A$1:$H$2</definedName>
    <definedName name="ExternalData_1" localSheetId="9" hidden="1">out_allocation_summary!$A$1:$H$14</definedName>
    <definedName name="ExternalData_2" localSheetId="7" hidden="1">'_out_balance_plan'!$A$1:$I$18</definedName>
    <definedName name="ExternalData_4" localSheetId="5" hidden="1">'_out_product_bom_consumption'!$A$1:$E$13</definedName>
    <definedName name="ExternalData_4" localSheetId="4" hidden="1">_out_product_production_capacit!$A$1:$E$17</definedName>
    <definedName name="ExternalData_5" localSheetId="8" hidden="1">'_out_clearing_result'!$A$1:$I$16</definedName>
    <definedName name="InstallationRoot">Paths!$B$1</definedName>
    <definedName name="MapStructureList">tblMapStructure[company_key]</definedName>
    <definedName name="nr_BuildingNames">_ref_building!$B$2:$B$55</definedName>
    <definedName name="nr_ChannelNames">_ref_channel!$B$2:$B$4</definedName>
    <definedName name="nr_EconomicPhaseNames">_ref_economic_phase!$B$2:$B$4</definedName>
    <definedName name="nr_ProductNames">_ref_product!$B$2:$B$152</definedName>
    <definedName name="nr_RealmNames">_ref_realm!$B$2:$B$3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8" i="132" l="1"/>
  <c r="C128" i="132"/>
  <c r="F7" i="132"/>
  <c r="F8" i="132"/>
  <c r="I96" i="132"/>
  <c r="I97" i="132"/>
  <c r="I98" i="132"/>
  <c r="I99" i="132"/>
  <c r="I100" i="132"/>
  <c r="I101" i="132"/>
  <c r="I102" i="132"/>
  <c r="I103" i="132"/>
  <c r="I104" i="132"/>
  <c r="I105" i="132"/>
  <c r="I106" i="132"/>
  <c r="I107" i="132"/>
  <c r="I108" i="132"/>
  <c r="I109" i="132"/>
  <c r="I110" i="132"/>
  <c r="I111" i="132"/>
  <c r="I112" i="132"/>
  <c r="I113" i="132"/>
  <c r="I114" i="132"/>
  <c r="D198" i="132"/>
  <c r="B198" i="132"/>
  <c r="D170" i="132"/>
  <c r="D171" i="132"/>
  <c r="D172" i="132"/>
  <c r="D173" i="132"/>
  <c r="D174" i="132"/>
  <c r="D175" i="132"/>
  <c r="D176" i="132"/>
  <c r="D177" i="132"/>
  <c r="D178" i="132"/>
  <c r="D179" i="132"/>
  <c r="D180" i="132"/>
  <c r="D181" i="132"/>
  <c r="D182" i="132"/>
  <c r="D183" i="132"/>
  <c r="D184" i="132"/>
  <c r="D185" i="132"/>
  <c r="D186" i="132"/>
  <c r="D187" i="132"/>
  <c r="B170" i="132"/>
  <c r="B171" i="132"/>
  <c r="B172" i="132"/>
  <c r="B173" i="132"/>
  <c r="B174" i="132"/>
  <c r="B175" i="132"/>
  <c r="B176" i="132"/>
  <c r="B177" i="132"/>
  <c r="B178" i="132"/>
  <c r="B179" i="132"/>
  <c r="B180" i="132"/>
  <c r="B181" i="132"/>
  <c r="B182" i="132"/>
  <c r="B183" i="132"/>
  <c r="B184" i="132"/>
  <c r="B185" i="132"/>
  <c r="B186" i="132"/>
  <c r="B187" i="132"/>
  <c r="G96" i="132"/>
  <c r="G97" i="132"/>
  <c r="G98" i="132"/>
  <c r="G99" i="132"/>
  <c r="G100" i="132"/>
  <c r="G101" i="132"/>
  <c r="G102" i="132"/>
  <c r="G103" i="132"/>
  <c r="G104" i="132"/>
  <c r="G105" i="132"/>
  <c r="G106" i="132"/>
  <c r="G107" i="132"/>
  <c r="G108" i="132"/>
  <c r="G109" i="132"/>
  <c r="G110" i="132"/>
  <c r="G111" i="132"/>
  <c r="G112" i="132"/>
  <c r="G113" i="132"/>
  <c r="G114" i="132"/>
  <c r="C96" i="132"/>
  <c r="C97" i="132"/>
  <c r="C98" i="132"/>
  <c r="C99" i="132"/>
  <c r="C100" i="132"/>
  <c r="C101" i="132"/>
  <c r="C102" i="132"/>
  <c r="C103" i="132"/>
  <c r="C104" i="132"/>
  <c r="C105" i="132"/>
  <c r="C106" i="132"/>
  <c r="C107" i="132"/>
  <c r="C108" i="132"/>
  <c r="C109" i="132"/>
  <c r="C110" i="132"/>
  <c r="C111" i="132"/>
  <c r="C112" i="132"/>
  <c r="C113" i="132"/>
  <c r="C114" i="132"/>
  <c r="D62" i="132"/>
  <c r="D63" i="132"/>
  <c r="D64" i="132"/>
  <c r="D65" i="132"/>
  <c r="D66" i="132"/>
  <c r="D67" i="132"/>
  <c r="D68" i="132"/>
  <c r="D69" i="132"/>
  <c r="D70" i="132"/>
  <c r="D71" i="132"/>
  <c r="D72" i="132"/>
  <c r="D73" i="132"/>
  <c r="D74" i="132"/>
  <c r="D75" i="132"/>
  <c r="D76" i="132"/>
  <c r="D77" i="132"/>
  <c r="D78" i="132"/>
  <c r="D79" i="132"/>
  <c r="D80" i="132"/>
  <c r="D81" i="132"/>
  <c r="D82" i="132"/>
  <c r="D83" i="132"/>
  <c r="D21" i="132"/>
  <c r="D22" i="132"/>
  <c r="D23" i="132"/>
  <c r="D24" i="132"/>
  <c r="D25" i="132"/>
  <c r="D26" i="132"/>
  <c r="D27" i="132"/>
  <c r="D28" i="132"/>
  <c r="D29" i="132"/>
  <c r="D30" i="132"/>
  <c r="D31" i="132"/>
  <c r="D32" i="132"/>
  <c r="D33" i="132"/>
  <c r="D34" i="132"/>
  <c r="D35" i="132"/>
  <c r="D36" i="132"/>
  <c r="D37" i="132"/>
  <c r="D38" i="132"/>
  <c r="D39" i="132"/>
  <c r="D40" i="132"/>
  <c r="D41" i="132"/>
  <c r="D42" i="132"/>
  <c r="D43" i="132"/>
  <c r="D7" i="132"/>
  <c r="D8" i="132"/>
  <c r="I11" i="133"/>
  <c r="X11" i="133"/>
  <c r="W11" i="133"/>
  <c r="V11" i="133"/>
  <c r="E11" i="133"/>
  <c r="D11" i="133"/>
  <c r="E7" i="133"/>
  <c r="E6" i="133"/>
  <c r="C10" i="133"/>
  <c r="E5" i="133"/>
  <c r="E4" i="133"/>
  <c r="C9" i="133"/>
  <c r="C8" i="133"/>
  <c r="R7" i="133"/>
  <c r="Q7" i="133"/>
  <c r="D7" i="133"/>
  <c r="R6" i="133"/>
  <c r="Q6" i="133"/>
  <c r="D6" i="133"/>
  <c r="Q5" i="133"/>
  <c r="D5" i="133"/>
  <c r="D4" i="133"/>
  <c r="G10" i="133" l="1"/>
  <c r="G8" i="133"/>
  <c r="G9" i="133"/>
  <c r="F11" i="133"/>
  <c r="G5" i="133"/>
  <c r="I5" i="133" s="1"/>
  <c r="U10" i="133"/>
  <c r="G6" i="133" s="1"/>
  <c r="I6" i="133" s="1"/>
  <c r="Q10" i="133"/>
  <c r="E9" i="133"/>
  <c r="F5" i="133"/>
  <c r="S8" i="133"/>
  <c r="D8" i="133"/>
  <c r="E8" i="133"/>
  <c r="E10" i="133"/>
  <c r="D10" i="133"/>
  <c r="T9" i="133"/>
  <c r="G7" i="133" s="1"/>
  <c r="I7" i="133" s="1"/>
  <c r="Q9" i="133"/>
  <c r="D9" i="133"/>
  <c r="Q8" i="133"/>
  <c r="F7" i="133"/>
  <c r="F6" i="133"/>
  <c r="F4" i="133"/>
  <c r="I10" i="133" l="1"/>
  <c r="I9" i="133"/>
  <c r="I8" i="133"/>
  <c r="G4" i="133"/>
  <c r="I4" i="133" s="1"/>
  <c r="F8" i="133"/>
  <c r="F10" i="133"/>
  <c r="F9" i="1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7F76A69-2914-42EC-BB45-405DD236E292}" keepAlive="1" name="Query - _out_balance_plan" description="Connection to the '_out_balance_plan' query in the workbook." type="5" refreshedVersion="8" background="1" saveData="1">
    <dbPr connection="Provider=Microsoft.Mashup.OleDb.1;Data Source=$Workbook$;Location=_out_balance_plan;Extended Properties=&quot;&quot;" command="SELECT * FROM [_out_balance_plan]"/>
  </connection>
  <connection id="2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3" xr16:uid="{D1ABF0DA-28CA-4449-BFBB-43061A40B165}" keepAlive="1" name="Query - _out_clearing_result" description="Connection to the '_out_clearing_result' query in the workbook." type="5" refreshedVersion="8" background="1" saveData="1">
    <dbPr connection="Provider=Microsoft.Mashup.OleDb.1;Data Source=$Workbook$;Location=_out_clearing_result;Extended Properties=&quot;&quot;" command="SELECT * FROM [_out_clearing_result]"/>
  </connection>
  <connection id="4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5" xr16:uid="{3CE5AB3D-F966-485A-BCD0-630450A67311}" keepAlive="1" name="Query - _out_product_bom_consumption" description="Connection to the '_out_product_bom_consumption' query in the workbook." type="5" refreshedVersion="8" background="1" saveData="1">
    <dbPr connection="Provider=Microsoft.Mashup.OleDb.1;Data Source=$Workbook$;Location=_out_product_bom_consumption;Extended Properties=&quot;&quot;" command="SELECT * FROM [_out_product_bom_consumption]"/>
  </connection>
  <connection id="6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7" xr16:uid="{6A0C9975-3971-4EBD-990C-1A432440C8C5}" keepAlive="1" name="Query - _out_product_bom_demand_detail" description="Connection to the '_out_product_bom_demand_detail' query in the workbook." type="5" refreshedVersion="8" background="1" saveData="1">
    <dbPr connection="Provider=Microsoft.Mashup.OleDb.1;Data Source=$Workbook$;Location=_out_product_bom_demand_detail;Extended Properties=&quot;&quot;" command="SELECT * FROM [_out_product_bom_demand_detail]"/>
  </connection>
  <connection id="8" xr16:uid="{D915FB28-A022-4735-8046-C08FFB9A9820}" keepAlive="1" name="Query - _out_production_intent" description="Connection to the '_out_production_intent' query in the workbook." type="5" refreshedVersion="8" background="1" saveData="1">
    <dbPr connection="Provider=Microsoft.Mashup.OleDb.1;Data Source=$Workbook$;Location=_out_production_intent;Extended Properties=&quot;&quot;" command="SELECT * FROM [_out_production_intent]"/>
  </connection>
  <connection id="9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10" xr16:uid="{4140FE3A-F705-41E9-A55A-61388CAC62C0}" keepAlive="1" name="Query - _out_retail_allocation_result" description="Connection to the '_out_retail_allocation_result' query in the workbook." type="5" refreshedVersion="8" background="1" saveData="1">
    <dbPr connection="Provider=Microsoft.Mashup.OleDb.1;Data Source=$Workbook$;Location=_out_retail_allocation_result;Extended Properties=&quot;&quot;" command="SELECT * FROM [_out_retail_allocation_result]"/>
  </connection>
  <connection id="11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2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3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4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15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6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7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8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9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20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21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2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3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4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5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6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7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8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9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30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31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2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3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4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35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6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7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8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9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40" xr16:uid="{9B5C1BE1-4EB3-4EFF-A604-F1B772E32053}" keepAlive="1" name="Query - out_allocation_summary" description="Connection to the 'out_allocation_summary' query in the workbook." type="5" refreshedVersion="8" background="1" saveData="1">
    <dbPr connection="Provider=Microsoft.Mashup.OleDb.1;Data Source=$Workbook$;Location=out_allocation_summary;Extended Properties=&quot;&quot;" command="SELECT * FROM [out_allocation_summary]"/>
  </connection>
  <connection id="41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2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3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4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45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46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47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48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49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50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1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2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3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4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55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56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57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58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59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60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1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2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3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4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65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66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67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68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69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70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1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2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3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4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5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76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77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78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79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80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1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2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3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4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5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86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87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8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9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90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1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2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3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4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95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96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97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98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99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100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1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2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03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04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05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06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07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8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9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10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1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2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13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14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15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16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17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18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19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20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1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2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23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24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25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26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27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28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29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30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1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2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33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34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35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36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37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38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39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40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1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2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43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44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45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46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47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48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49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50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1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2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<sst xmlns="http://schemas.openxmlformats.org/spreadsheetml/2006/main" count="676" uniqueCount="289">
  <si>
    <t>Company</t>
  </si>
  <si>
    <t>Map Structure</t>
  </si>
  <si>
    <t>Production Plan</t>
  </si>
  <si>
    <t>Override Exchange Prices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</si>
  <si>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</si>
  <si>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</si>
  <si>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</si>
  <si>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</si>
  <si>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</si>
  <si>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</si>
  <si>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</si>
  <si>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</si>
  <si>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</si>
  <si>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</si>
  <si>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</si>
  <si>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</si>
  <si>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</si>
  <si>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</si>
  <si>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</si>
  <si>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</si>
  <si>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</si>
  <si>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</si>
  <si>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</si>
  <si>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</si>
  <si>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</si>
  <si>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</si>
  <si>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</si>
  <si>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</si>
  <si>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</si>
  <si>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</si>
  <si>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</si>
  <si>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</si>
  <si>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</si>
  <si>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Golden Bars</t>
  </si>
  <si>
    <t>Sand</t>
  </si>
  <si>
    <t>product_key</t>
  </si>
  <si>
    <t>quality_level</t>
  </si>
  <si>
    <t>production_per_hour</t>
  </si>
  <si>
    <t>cost_per_hour</t>
  </si>
  <si>
    <t>consumed_per_hour</t>
  </si>
  <si>
    <t>Transport</t>
  </si>
  <si>
    <t>power</t>
  </si>
  <si>
    <t>water</t>
  </si>
  <si>
    <t>minerals</t>
  </si>
  <si>
    <t>gold ore</t>
  </si>
  <si>
    <t>silicon</t>
  </si>
  <si>
    <t>chemicals</t>
  </si>
  <si>
    <t>golden bars</t>
  </si>
  <si>
    <t>sand</t>
  </si>
  <si>
    <t>left_over_per_hour</t>
  </si>
  <si>
    <t>value_per_hour</t>
  </si>
  <si>
    <t>gross_value_per_hour</t>
  </si>
  <si>
    <t>consumed_cost_per_hour</t>
  </si>
  <si>
    <t>Clearing Plan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</si>
  <si>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</si>
  <si>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</si>
  <si>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</si>
  <si>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</si>
  <si>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</si>
  <si>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</si>
  <si>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</si>
  <si>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</si>
  <si>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</si>
  <si>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</si>
  <si>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</si>
  <si>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</si>
  <si>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</si>
  <si>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</si>
  <si>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</si>
  <si>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</si>
  <si>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</si>
  <si>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</si>
  <si>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</si>
  <si>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</si>
  <si>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</si>
  <si>
    <t>source_product_key</t>
  </si>
  <si>
    <t>source_quality_level</t>
  </si>
  <si>
    <t>demanded_product_key</t>
  </si>
  <si>
    <t>demanded_quality_level</t>
  </si>
  <si>
    <t>source_product_name</t>
  </si>
  <si>
    <t>demanded_product_name</t>
  </si>
  <si>
    <t>building_key</t>
  </si>
  <si>
    <t>building_name</t>
  </si>
  <si>
    <t>Academy</t>
  </si>
  <si>
    <t>Aerospace Electronics</t>
  </si>
  <si>
    <t>Aerospace Factory</t>
  </si>
  <si>
    <t>Automotive R&amp;D</t>
  </si>
  <si>
    <t>Bakery</t>
  </si>
  <si>
    <t>Bank</t>
  </si>
  <si>
    <t>Beach Market</t>
  </si>
  <si>
    <t>Breeding Laboratory</t>
  </si>
  <si>
    <t>Car Dealership</t>
  </si>
  <si>
    <t>Car Factory</t>
  </si>
  <si>
    <t>Castle</t>
  </si>
  <si>
    <t>Catering</t>
  </si>
  <si>
    <t>Chemistry Laboratory</t>
  </si>
  <si>
    <t>Concrete Plant</t>
  </si>
  <si>
    <t>Construction Factory</t>
  </si>
  <si>
    <t>Electronics Store</t>
  </si>
  <si>
    <t>Fashion &amp; Design</t>
  </si>
  <si>
    <t>Fashion Factory</t>
  </si>
  <si>
    <t>Fashion Store</t>
  </si>
  <si>
    <t>Forest Nursery</t>
  </si>
  <si>
    <t>Gas Station</t>
  </si>
  <si>
    <t>General Contractor</t>
  </si>
  <si>
    <t>Halloween Market</t>
  </si>
  <si>
    <t>Hangar</t>
  </si>
  <si>
    <t>Hardware Store</t>
  </si>
  <si>
    <t>Kitchen</t>
  </si>
  <si>
    <t>Lake</t>
  </si>
  <si>
    <t>Launch Pad</t>
  </si>
  <si>
    <t>Mill</t>
  </si>
  <si>
    <t>Oil Rig</t>
  </si>
  <si>
    <t>Park</t>
  </si>
  <si>
    <t>Physics Laboratory</t>
  </si>
  <si>
    <t>Plant Research Center</t>
  </si>
  <si>
    <t>Propulsion Factory</t>
  </si>
  <si>
    <t>Quarry</t>
  </si>
  <si>
    <t>Ranch</t>
  </si>
  <si>
    <t>Refinery</t>
  </si>
  <si>
    <t>Restaurant</t>
  </si>
  <si>
    <t>Sales Office</t>
  </si>
  <si>
    <t>Shipping Depot</t>
  </si>
  <si>
    <t>Slaughterhouse</t>
  </si>
  <si>
    <t>Software R&amp;D</t>
  </si>
  <si>
    <t>Spring Market</t>
  </si>
  <si>
    <t>Vertical Integration Facility</t>
  </si>
  <si>
    <t>XMAS Market</t>
  </si>
  <si>
    <t>product_name</t>
  </si>
  <si>
    <t>Aerospace Research</t>
  </si>
  <si>
    <t>Aluminium</t>
  </si>
  <si>
    <t>Apple Cider</t>
  </si>
  <si>
    <t>Apple Icecream</t>
  </si>
  <si>
    <t>Apple Pie</t>
  </si>
  <si>
    <t>Apples</t>
  </si>
  <si>
    <t>Attitude Control</t>
  </si>
  <si>
    <t>Automotive Research</t>
  </si>
  <si>
    <t>BFR</t>
  </si>
  <si>
    <t>Basic Interior</t>
  </si>
  <si>
    <t>Bauxite</t>
  </si>
  <si>
    <t>Bread</t>
  </si>
  <si>
    <t>Breeding Research</t>
  </si>
  <si>
    <t>Bricks</t>
  </si>
  <si>
    <t>Bulldozer</t>
  </si>
  <si>
    <t>Butter</t>
  </si>
  <si>
    <t>Car Body</t>
  </si>
  <si>
    <t>Carbon Composite</t>
  </si>
  <si>
    <t>Carbon Fibers</t>
  </si>
  <si>
    <t>Cement</t>
  </si>
  <si>
    <t>Cheese</t>
  </si>
  <si>
    <t>Chemistry Research</t>
  </si>
  <si>
    <t>Chocolate</t>
  </si>
  <si>
    <t>Chocolate Icecream</t>
  </si>
  <si>
    <t>Clay</t>
  </si>
  <si>
    <t>Cockpit</t>
  </si>
  <si>
    <t>Cocktails</t>
  </si>
  <si>
    <t>Cocoa</t>
  </si>
  <si>
    <t>Coffee Beans</t>
  </si>
  <si>
    <t>Coffee Powder</t>
  </si>
  <si>
    <t>Combustion Engine</t>
  </si>
  <si>
    <t>Construction Units</t>
  </si>
  <si>
    <t>Cotton</t>
  </si>
  <si>
    <t>Cows</t>
  </si>
  <si>
    <t>Cream Egg</t>
  </si>
  <si>
    <t>Crude Oil</t>
  </si>
  <si>
    <t>Diesel</t>
  </si>
  <si>
    <t>Displays</t>
  </si>
  <si>
    <t>Dough</t>
  </si>
  <si>
    <t>Dress</t>
  </si>
  <si>
    <t>Easter Bunny</t>
  </si>
  <si>
    <t>Economy Car</t>
  </si>
  <si>
    <t>Economy E-Car</t>
  </si>
  <si>
    <t>Eggs</t>
  </si>
  <si>
    <t>Electric Motor</t>
  </si>
  <si>
    <t>Electronic Components</t>
  </si>
  <si>
    <t>Electronics Research</t>
  </si>
  <si>
    <t>Energy Research</t>
  </si>
  <si>
    <t>Ethanol</t>
  </si>
  <si>
    <t>Fabric</t>
  </si>
  <si>
    <t>Fashion Research</t>
  </si>
  <si>
    <t>Flight Computer</t>
  </si>
  <si>
    <t>Flour</t>
  </si>
  <si>
    <t>Fodder</t>
  </si>
  <si>
    <t>Frozen Pizza</t>
  </si>
  <si>
    <t>Fuselage</t>
  </si>
  <si>
    <t>Ginger Beer</t>
  </si>
  <si>
    <t>Glass</t>
  </si>
  <si>
    <t>Gloves</t>
  </si>
  <si>
    <t>Grain</t>
  </si>
  <si>
    <t>Grapes</t>
  </si>
  <si>
    <t>Hamburger</t>
  </si>
  <si>
    <t>Handbags</t>
  </si>
  <si>
    <t>Heat Shield</t>
  </si>
  <si>
    <t>Ion Drive</t>
  </si>
  <si>
    <t>Iron Ore</t>
  </si>
  <si>
    <t>Jack O'Lantern</t>
  </si>
  <si>
    <t>Jet Engine</t>
  </si>
  <si>
    <t>Jumbo Jet</t>
  </si>
  <si>
    <t>Laptops</t>
  </si>
  <si>
    <t>Lasagne</t>
  </si>
  <si>
    <t>Leather</t>
  </si>
  <si>
    <t>Limestone</t>
  </si>
  <si>
    <t>Luxury Car</t>
  </si>
  <si>
    <t>Luxury Car Interior</t>
  </si>
  <si>
    <t>Luxury E-Car</t>
  </si>
  <si>
    <t>Luxury Jet</t>
  </si>
  <si>
    <t>Luxury Watch</t>
  </si>
  <si>
    <t>Materials Research</t>
  </si>
  <si>
    <t>Meat Balls</t>
  </si>
  <si>
    <t>Methane</t>
  </si>
  <si>
    <t>Milk</t>
  </si>
  <si>
    <t>Mining Research</t>
  </si>
  <si>
    <t>Monitors</t>
  </si>
  <si>
    <t>Necklace</t>
  </si>
  <si>
    <t>On-Board Computer</t>
  </si>
  <si>
    <t>Orbital Booster</t>
  </si>
  <si>
    <t>Pasta</t>
  </si>
  <si>
    <t>Petrol</t>
  </si>
  <si>
    <t>Pigs</t>
  </si>
  <si>
    <t>Planks</t>
  </si>
  <si>
    <t>Plant Research</t>
  </si>
  <si>
    <t>Plastic</t>
  </si>
  <si>
    <t>Processors</t>
  </si>
  <si>
    <t>Propellant Tank</t>
  </si>
  <si>
    <t>Pumpkin</t>
  </si>
  <si>
    <t>Pumpkin Soup</t>
  </si>
  <si>
    <t>Quadcopter</t>
  </si>
  <si>
    <t>Ramadan Sweets</t>
  </si>
  <si>
    <t>Recipes</t>
  </si>
  <si>
    <t>Reinforced Concrete</t>
  </si>
  <si>
    <t>Robots</t>
  </si>
  <si>
    <t>Rocket Engine</t>
  </si>
  <si>
    <t>Rocket Fuel</t>
  </si>
  <si>
    <t>Salad</t>
  </si>
  <si>
    <t>Samosa</t>
  </si>
  <si>
    <t>Satellite</t>
  </si>
  <si>
    <t>Sauce</t>
  </si>
  <si>
    <t>Sausages</t>
  </si>
  <si>
    <t>Single-Engine Plane</t>
  </si>
  <si>
    <t>Smart Phones</t>
  </si>
  <si>
    <t>Sneakers</t>
  </si>
  <si>
    <t>Software</t>
  </si>
  <si>
    <t>Solid Fuel Booster</t>
  </si>
  <si>
    <t>Starship</t>
  </si>
  <si>
    <t>Steak</t>
  </si>
  <si>
    <t>Steel</t>
  </si>
  <si>
    <t>Steel Beams</t>
  </si>
  <si>
    <t>Stiletto Heel</t>
  </si>
  <si>
    <t>Sub-Orbital 2nd Stage</t>
  </si>
  <si>
    <t>Sub-Orbital Rocket</t>
  </si>
  <si>
    <t>Tablets</t>
  </si>
  <si>
    <t>Televsions</t>
  </si>
  <si>
    <t>Tools</t>
  </si>
  <si>
    <t>Tree</t>
  </si>
  <si>
    <t>Truck</t>
  </si>
  <si>
    <t>Underwear</t>
  </si>
  <si>
    <t>Vegetable Oil</t>
  </si>
  <si>
    <t>Vegetables</t>
  </si>
  <si>
    <t>Windows</t>
  </si>
  <si>
    <t>Wing</t>
  </si>
  <si>
    <t>Witch Costume</t>
  </si>
  <si>
    <t>Wood</t>
  </si>
  <si>
    <t>XMAS Crackers</t>
  </si>
  <si>
    <t>XMAS Ornament</t>
  </si>
  <si>
    <t>realm_key</t>
  </si>
  <si>
    <t>realm_name</t>
  </si>
  <si>
    <t>channel_name</t>
  </si>
  <si>
    <t>company_name</t>
  </si>
  <si>
    <t>company_level</t>
  </si>
  <si>
    <t>snapshot_date</t>
  </si>
  <si>
    <t>enabled</t>
  </si>
  <si>
    <t>notes</t>
  </si>
  <si>
    <t>building_level</t>
  </si>
  <si>
    <t>robots_installed</t>
  </si>
  <si>
    <t>allocation_units_per_day</t>
  </si>
  <si>
    <t>unit_price</t>
  </si>
  <si>
    <t>allocation_frac</t>
  </si>
  <si>
    <t>allocation_units_per_hour</t>
  </si>
  <si>
    <t>production_speed_delta</t>
  </si>
  <si>
    <t>sales_speed_delta</t>
  </si>
  <si>
    <t>slot_key</t>
  </si>
  <si>
    <t>production_split_frac</t>
  </si>
  <si>
    <t>economic_phase_key</t>
  </si>
  <si>
    <t>economic_phase_name</t>
  </si>
  <si>
    <t>Normal</t>
  </si>
  <si>
    <t>Recession</t>
  </si>
  <si>
    <t>Boom</t>
  </si>
  <si>
    <t>Generated: 2026-06-16 16:29:14 UTC</t>
  </si>
  <si>
    <t>Retail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</si>
</sst>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00"/>
    <numFmt numFmtId="165" formatCode="0.0000"/>
  </numFmts>
  <fonts count="4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  <font>
      <i/>
      <sz val="11"/>
      <color theme="2" tint="-0.24994659260841701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3" fillId="0" borderId="0" xfId="0" applyFont="1"/>
    <xf numFmtId="165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numFmt numFmtId="164" formatCode="&quot;$&quot;#,##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numFmt numFmtId="164" formatCode="&quot;$&quot;#,##0.0000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numFmt numFmtId="165" formatCode="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43"/>
      <tableStyleElement type="headerRow" dxfId="42"/>
    </tableStyle>
    <tableStyle name="Output Table" pivot="0" count="2" xr9:uid="{2E3CF32D-1805-447A-A85C-8F12D0D17A75}">
      <tableStyleElement type="wholeTable" dxfId="41"/>
      <tableStyleElement type="headerRow" dxfId="40"/>
    </tableStyle>
    <tableStyle name="Ref Table" pivot="0" count="2" xr9:uid="{A770A715-E574-4C04-A545-B413EE13707B}">
      <tableStyleElement type="wholeTable" dxfId="39"/>
      <tableStyleElement type="headerRow" dxfId="38"/>
    </tableStyle>
    <tableStyle name="Reference Material" pivot="0" count="2" xr9:uid="{4A411DC6-D102-4668-BF54-FAE72CB502D1}">
      <tableStyleElement type="wholeTable" dxfId="37"/>
      <tableStyleElement type="headerRow" dxfId="36"/>
    </tableStyle>
    <tableStyle name="Sys Tables" pivot="0" count="2" xr9:uid="{096D3C65-410C-4E50-A003-D708D0B3FEC5}">
      <tableStyleElement type="wholeTable" dxfId="35"/>
      <tableStyleElement type="headerRow" dxfId="34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DD315A0D-4543-4F2A-8C5D-1F14C53C8B73}" autoFormatId="16" applyNumberFormats="0" applyBorderFormats="0" applyFontFormats="0" applyPatternFormats="0" applyAlignmentFormats="0" applyWidthHeightFormats="0">
  <queryTableRefresh nextId="6">
    <queryTableFields count="5">
      <queryTableField id="1" name="company_key" tableColumnId="1"/>
      <queryTableField id="2" name="product_key" tableColumnId="2"/>
      <queryTableField id="3" name="quality_level" tableColumnId="3"/>
      <queryTableField id="4" name="units_consumed_per_hour" tableColumnId="4"/>
      <queryTableField id="5" name="product_nam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65CD350-6305-4CBD-B081-EC1E96436122}" autoFormatId="16" applyNumberFormats="0" applyBorderFormats="0" applyFontFormats="0" applyPatternFormats="0" applyAlignmentFormats="0" applyWidthHeightFormats="0">
  <queryTableRefresh nextId="9">
    <queryTableFields count="8">
      <queryTableField id="1" name="company_key" tableColumnId="1"/>
      <queryTableField id="2" name="source_product_key" tableColumnId="2"/>
      <queryTableField id="3" name="source_quality_level" tableColumnId="3"/>
      <queryTableField id="4" name="demanded_product_key" tableColumnId="4"/>
      <queryTableField id="5" name="demanded_quality_level" tableColumnId="5"/>
      <queryTableField id="6" name="units_consumed_per_hour" tableColumnId="6"/>
      <queryTableField id="7" name="source_product_name" tableColumnId="7"/>
      <queryTableField id="8" name="demanded_product_nam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33D9CACD-81B5-448E-AA16-60EA845163F7}" autoFormatId="16" applyNumberFormats="0" applyBorderFormats="0" applyFontFormats="0" applyPatternFormats="0" applyAlignmentFormats="0" applyWidthHeightFormats="0">
  <queryTableRefresh nextId="12">
    <queryTableFields count="9">
      <queryTableField id="1" name="company_key" tableColumnId="1"/>
      <queryTableField id="3" name="product_key" tableColumnId="3"/>
      <queryTableField id="4" name="quality_level" tableColumnId="4"/>
      <queryTableField id="2" name="net_units_per_hour" tableColumnId="2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  <queryTableField id="9" name="product_name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AB521252-C7E8-49AA-BB17-291224C74183}" autoFormatId="16" applyNumberFormats="0" applyBorderFormats="0" applyFontFormats="0" applyPatternFormats="0" applyAlignmentFormats="0" applyWidthHeightFormats="0">
  <queryTableRefresh nextId="16">
    <queryTableFields count="9">
      <queryTableField id="3" name="company_key" tableColumnId="3"/>
      <queryTableField id="6" name="product_key" tableColumnId="6"/>
      <queryTableField id="7" name="quality_level" tableColumnId="7"/>
      <queryTableField id="5" name="priority" tableColumnId="5"/>
      <queryTableField id="2" name="channel_key" tableColumnId="2"/>
      <queryTableField id="4" name="direction" tableColumnId="4"/>
      <queryTableField id="1" name="allocated_units_per_hour" tableColumnId="1"/>
      <queryTableField id="8" name="product_name" tableColumnId="8"/>
      <queryTableField id="9" name="channel_name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0" xr16:uid="{7E83F68A-C9E0-45BE-AF3F-2DF08699B3C4}" autoFormatId="16" applyNumberFormats="0" applyBorderFormats="0" applyFontFormats="0" applyPatternFormats="0" applyAlignmentFormats="0" applyWidthHeightFormats="0">
  <queryTableRefresh nextId="14">
    <queryTableFields count="8">
      <queryTableField id="1" name="company_key" tableColumnId="1"/>
      <queryTableField id="4" name="product_key" tableColumnId="4"/>
      <queryTableField id="5" name="quality_level" tableColumnId="5"/>
      <queryTableField id="7" name="total_units_per_hour" tableColumnId="7"/>
      <queryTableField id="6" name="retail_units_per_hour" tableColumnId="6"/>
      <queryTableField id="3" name="non_retail_units_per_hour" tableColumnId="3"/>
      <queryTableField id="2" name="is_retail_capped" tableColumnId="2"/>
      <queryTableField id="8" name="product_name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DAC5BF1F-DB15-43C9-95AF-F03EC451420F}" autoFormatId="16" applyNumberFormats="0" applyBorderFormats="0" applyFontFormats="0" applyPatternFormats="0" applyAlignmentFormats="0" applyWidthHeightFormats="0">
  <queryTableRefresh nextId="9">
    <queryTableFields count="8">
      <queryTableField id="1" name="company_key" tableColumnId="1"/>
      <queryTableField id="2" name="product_key" tableColumnId="2"/>
      <queryTableField id="3" name="quality_level" tableColumnId="3"/>
      <queryTableField id="4" name="building_key" tableColumnId="4"/>
      <queryTableField id="5" name="priority" tableColumnId="5"/>
      <queryTableField id="6" name="allocated_units_per_hour" tableColumnId="6"/>
      <queryTableField id="7" name="product_name" tableColumnId="7"/>
      <queryTableField id="8" name="building_name" tableColumnId="8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808794-8381-46D9-8FDD-40DA085F93F6}" name="ref_economic_phase" displayName="ref_economic_phase" ref="A1:B4" totalsRowShown="0">
  <autoFilter ref="A1:B4" xr:uid="{6E808794-8381-46D9-8FDD-40DA085F93F6}"/>
  <tableColumns count="2">
    <tableColumn id="1" xr3:uid="{1E0B3EC2-E0CC-4E12-AC1C-F4259D740EEE}" name="economic_phase_key"/>
    <tableColumn id="2" xr3:uid="{F320C0AE-C6BE-412A-8061-2DFC451DFB12}" name="economic_phase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L8" totalsRowShown="0">
  <autoFilter ref="A6:L8" xr:uid="{D554E1B6-6669-4D88-AD8A-F964A8DB6010}"/>
  <tableColumns count="12">
    <tableColumn id="1" xr3:uid="{00818EAF-1984-4AB8-9E91-2D20F72E13F9}" name="company_key"/>
    <tableColumn id="2" xr3:uid="{D622DB96-728C-4534-8CCD-E6572216DCD9}" name="company_name"/>
    <tableColumn id="3" xr3:uid="{383C395E-EBDA-4652-B1D5-24F162C6FC80}" name="realm_name"/>
    <tableColumn id="6" xr3:uid="{FEC911EA-7DF3-474F-BCD2-1F14D94C16D5}" name="realm_key" dataDxfId="33">
      <calculatedColumnFormula>_xlfn.XLOOKUP(tblCompany[[#This Row],[realm_name]],ref_realm[realm_name],ref_realm[realm_key])</calculatedColumnFormula>
    </tableColumn>
    <tableColumn id="11" xr3:uid="{1E7C4B8C-0A77-4DB9-85C1-D4ABCC8B0484}" name="economic_phase_name" dataDxfId="32"/>
    <tableColumn id="12" xr3:uid="{E9009A07-ADD8-4026-8D8E-837BC33C59D6}" name="economic_phase_key" dataDxfId="31">
      <calculatedColumnFormula>_xlfn.XLOOKUP(tblCompany[[#This Row],[economic_phase_name]],ref_economic_phase[economic_phase_name],ref_economic_phase[economic_phase_key])</calculatedColumnFormula>
    </tableColumn>
    <tableColumn id="4" xr3:uid="{6E430B76-1C1A-494B-86B8-AE438D1D328A}" name="company_level"/>
    <tableColumn id="5" xr3:uid="{945D1978-5410-4F78-8E24-25C8A0D1A3B4}" name="snapshot_date"/>
    <tableColumn id="7" xr3:uid="{394D4B1D-3557-4042-82F2-79A24B25671B}" name="production_speed_delta" dataDxfId="30"/>
    <tableColumn id="8" xr3:uid="{13346E22-A822-4DDB-AC42-5BDDA0D7C140}" name="sales_speed_delta" dataDxfId="29"/>
    <tableColumn id="9" xr3:uid="{DC6CD4C4-F52F-4006-8272-45075FEB3A09}" name="enabled" dataDxfId="28"/>
    <tableColumn id="10" xr3:uid="{4496101C-D894-4EAF-8768-F01E1DF4844F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H43" totalsRowShown="0">
  <autoFilter ref="A20:H43" xr:uid="{C6AF9AFF-147D-4298-B3B8-B068A9C1A10F}"/>
  <tableColumns count="8">
    <tableColumn id="1" xr3:uid="{5BF3C9EF-89C4-4021-8081-C69A6AAAEAC4}" name="company_key"/>
    <tableColumn id="2" xr3:uid="{ECD1AE36-C881-4900-BD8C-D6A9A7051B03}" name="slot_key"/>
    <tableColumn id="3" xr3:uid="{CE5DE0CD-B9DD-4529-AEFC-6B5E833A67E3}" name="building_name"/>
    <tableColumn id="8" xr3:uid="{3021D55D-A623-4C01-B825-9808A41723DB}" name="building_key" dataDxfId="27">
      <calculatedColumnFormula>_xlfn.XLOOKUP(tblMapStructure[[#This Row],[building_name]],ref_building[building_name],ref_building[building_key])</calculatedColumnFormula>
    </tableColumn>
    <tableColumn id="4" xr3:uid="{73C45B16-6925-458C-A800-670E7EACF460}" name="building_level"/>
    <tableColumn id="5" xr3:uid="{C6491EE1-1A4D-41C2-A9CF-EC732F5DF060}" name="robots_installed" dataDxfId="26"/>
    <tableColumn id="6" xr3:uid="{5AD26A78-376B-45F9-AD3F-E0EA1CFDD1E0}" name="enabled" dataDxfId="25"/>
    <tableColumn id="7" xr3:uid="{9C5A7860-863B-4A0E-A46F-A46214FBF667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H83" totalsRowShown="0">
  <autoFilter ref="A61:H83" xr:uid="{DF133873-A3C9-4208-BDA4-00D51B2317B0}"/>
  <tableColumns count="8">
    <tableColumn id="1" xr3:uid="{AB1B9003-0D35-4F21-A373-E03850B49EF1}" name="company_key"/>
    <tableColumn id="2" xr3:uid="{C1857FD6-6482-4D18-AC15-D555A981C3F4}" name="slot_key"/>
    <tableColumn id="3" xr3:uid="{084A96BE-0555-40AE-881F-578D9D6FC238}" name="product_name"/>
    <tableColumn id="8" xr3:uid="{6AEA1B97-BE58-4FF4-A4A1-528A186732D9}" name="product_key" dataDxfId="24">
      <calculatedColumnFormula>_xlfn.XLOOKUP(tblProductionPlan[[#This Row],[product_name]],ref_product[product_name],ref_product[product_key])</calculatedColumnFormula>
    </tableColumn>
    <tableColumn id="4" xr3:uid="{C62A85A2-2591-42E6-9F1A-CCD931CAEA5B}" name="quality_level"/>
    <tableColumn id="5" xr3:uid="{A943DBD7-9BB3-4BE7-A741-FFDE9E356570}" name="production_split_frac" dataDxfId="23"/>
    <tableColumn id="6" xr3:uid="{D362487B-B768-4C2A-A7E9-5E4BB89B6DB8}" name="enabled" dataDxfId="22"/>
    <tableColumn id="7" xr3:uid="{120B3FE1-4495-4295-A6E0-2E023EB8A6BF}" name="notes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F187" totalsRowShown="0">
  <autoFilter ref="A169:F187" xr:uid="{FD8913A6-1E1A-4720-8BE1-9256E8324D11}"/>
  <tableColumns count="6">
    <tableColumn id="1" xr3:uid="{34A87837-0BD4-413C-ABA8-5306503ACA49}" name="realm_name"/>
    <tableColumn id="5" xr3:uid="{BFA41D7A-BFCA-4131-BBF9-189B65F88551}" name="realm_key" dataDxfId="21">
      <calculatedColumnFormula>_xlfn.XLOOKUP(tblOverrideExchangePrices[[#This Row],[realm_name]],ref_realm[realm_name],ref_realm[realm_key])</calculatedColumnFormula>
    </tableColumn>
    <tableColumn id="2" xr3:uid="{B290D4CB-8BD0-40B7-A27F-1E58981ECDE7}" name="product_name"/>
    <tableColumn id="6" xr3:uid="{17315FF0-19E5-4B49-A876-33F164DFD6E6}" name="product_key" dataDxfId="20">
      <calculatedColumnFormula>_xlfn.XLOOKUP(tblOverrideExchangePrices[[#This Row],[product_name]],ref_product[product_name],ref_product[product_key])</calculatedColumnFormula>
    </tableColumn>
    <tableColumn id="3" xr3:uid="{0934B66E-7E97-4025-869A-9441FF8AE437}" name="quality_level"/>
    <tableColumn id="4" xr3:uid="{AD6A6950-B492-4065-9302-BF9C21272368}" name="unit_price" dataDxfId="19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F198" totalsRowShown="0">
  <autoFilter ref="A197:F198" xr:uid="{9D1E29ED-1988-474E-ADBB-ECB5A535AB43}"/>
  <tableColumns count="6">
    <tableColumn id="1" xr3:uid="{D085DD94-7041-4A41-93ED-F75AA948868A}" name="realm_name"/>
    <tableColumn id="5" xr3:uid="{C4C3812F-4027-4A7B-958D-BB52077CD290}" name="realm_key" dataDxfId="18">
      <calculatedColumnFormula>_xlfn.XLOOKUP(tblOverrideRetailPrices[[#This Row],[realm_name]],ref_realm[realm_name],ref_realm[realm_key])</calculatedColumnFormula>
    </tableColumn>
    <tableColumn id="2" xr3:uid="{405E85AD-7315-4A42-AC7B-BB79A0A4FCDF}" name="product_name"/>
    <tableColumn id="6" xr3:uid="{258A04FB-A39F-47E3-A1F6-70F1DCC825DD}" name="product_key" dataDxfId="17">
      <calculatedColumnFormula>_xlfn.XLOOKUP(tblOverrideRetailPrices[[#This Row],[product_name]],ref_product[product_name],ref_product[product_key])</calculatedColumnFormula>
    </tableColumn>
    <tableColumn id="3" xr3:uid="{96BAD24F-68B2-4B92-B81B-151126C3CB44}" name="quality_level"/>
    <tableColumn id="4" xr3:uid="{8B40B9B9-786F-4ACF-BCE2-8F7F44429682}" name="unit_price" dataDxfId="16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J114" totalsRowShown="0">
  <autoFilter ref="A95:J114" xr:uid="{6BC4ADCD-8870-4C36-B211-88BF14F185A8}"/>
  <tableColumns count="10">
    <tableColumn id="1" xr3:uid="{FB1E6A9C-5262-49F1-B914-6BB43EFCB6CA}" name="company_key"/>
    <tableColumn id="2" xr3:uid="{6228E2FE-9DFE-45D5-8340-7D9B27296377}" name="product_name"/>
    <tableColumn id="6" xr3:uid="{F249DB65-1F12-46FE-AFA2-CE6E1BD0849B}" name="product_key" dataDxfId="15">
      <calculatedColumnFormula>_xlfn.XLOOKUP(tblClearingPlan[[#This Row],[product_name]],ref_product[product_name],ref_product[product_key])</calculatedColumnFormula>
    </tableColumn>
    <tableColumn id="3" xr3:uid="{50A625D4-8B76-4102-9345-ADAE60312C9B}" name="quality_level"/>
    <tableColumn id="9" xr3:uid="{DC29037E-3A6D-4EC8-8D61-E545252E8A5B}" name="priority"/>
    <tableColumn id="8" xr3:uid="{304DD206-7414-4AE8-B589-BA1ECF81120C}" name="channel_name"/>
    <tableColumn id="7" xr3:uid="{34874FFE-0A00-4A30-829B-40F9762E644E}" name="channel_key" dataDxfId="14">
      <calculatedColumnFormula>_xlfn.XLOOKUP(tblClearingPlan[[#This Row],[channel_name]],ref_channel[channel_name],ref_channel[channel_key])</calculatedColumnFormula>
    </tableColumn>
    <tableColumn id="4" xr3:uid="{8DA8B1B3-0C49-4BD2-9CBD-41143D13C832}" name="allocation_units_per_day"/>
    <tableColumn id="10" xr3:uid="{4A3E50F1-4E3C-463D-9111-022B0A910D45}" name="allocation_units_per_hour" dataDxfId="13">
      <calculatedColumnFormula>tblClearingPlan[[#This Row],[allocation_units_per_day]]/24</calculatedColumnFormula>
    </tableColumn>
    <tableColumn id="5" xr3:uid="{85049B14-F17F-4A79-B2EE-3858AEBA21B5}" name="allocation_frac"/>
  </tableColumns>
  <tableStyleInfo name="In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8997776-443A-41B4-A19A-B6C6DBFFB94E}" name="tblRetailPlan" displayName="tblRetailPlan" ref="A127:G128" totalsRowShown="0">
  <autoFilter ref="A127:G128" xr:uid="{E8997776-443A-41B4-A19A-B6C6DBFFB94E}"/>
  <tableColumns count="7">
    <tableColumn id="1" xr3:uid="{6032259B-3CDF-4095-B1D2-66FF10D1EADD}" name="company_key"/>
    <tableColumn id="2" xr3:uid="{503BA8B5-AAF4-42B3-A439-D7B90BD4D855}" name="product_name"/>
    <tableColumn id="3" xr3:uid="{EDDA53A0-F055-4BAE-A467-020E9175405C}" name="product_key" dataDxfId="3">
      <calculatedColumnFormula>_xlfn.XLOOKUP(tblRetailPlan[[#This Row],[product_name]],ref_product[product_name],ref_product[product_key])</calculatedColumnFormula>
    </tableColumn>
    <tableColumn id="4" xr3:uid="{8945871A-CA35-42FC-B180-1E9452EABCC9}" name="quality_level"/>
    <tableColumn id="5" xr3:uid="{26FA12F8-0BA8-4C98-AF96-68C2318A0A7F}" name="building_name"/>
    <tableColumn id="6" xr3:uid="{7C6319B2-A8FE-42EF-AC8D-1BD0D29CC3CD}" name="building_key" dataDxfId="2">
      <calculatedColumnFormula>_xlfn.XLOOKUP(tblRetailPlan[[#This Row],[building_name]],ref_building[building_name],ref_building[building_key])</calculatedColumnFormula>
    </tableColumn>
    <tableColumn id="7" xr3:uid="{98B8D119-0130-4826-AECA-FC7921E8B678}" name="priority"/>
  </tableColumns>
  <tableStyleInfo name="Input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1F9C16D-9808-4093-B9E3-847700474499}" name="_out_product_production_capacity" displayName="_out_product_production_capacity" ref="A1:E17" totalsRowShown="0">
  <autoFilter ref="A1:E17" xr:uid="{21F9C16D-9808-4093-B9E3-847700474499}"/>
  <tableColumns count="5">
    <tableColumn id="1" xr3:uid="{DA4B644F-6EF7-43EC-A7FD-9F8D47153707}" name="company_key"/>
    <tableColumn id="2" xr3:uid="{EB6A9625-56C8-4216-B419-6B5F652BF1C2}" name="product_key"/>
    <tableColumn id="3" xr3:uid="{C567BC45-C973-4E5F-AA46-10DA458B9198}" name="quality_level"/>
    <tableColumn id="4" xr3:uid="{73F10031-9902-429D-9ABC-933B54D8D4F3}" name="units_produced_per_hour"/>
    <tableColumn id="5" xr3:uid="{85DE7EA8-1553-46DD-A280-02310347541D}" name="product_name" dataDxfId="12"/>
  </tableColumns>
  <tableStyleInfo name="Output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_out_product_bom_consumption" displayName="_out_product_bom_consumption" ref="A1:E13" tableType="queryTable" totalsRowShown="0">
  <autoFilter ref="A1:E13" xr:uid="{8C33B665-0B3E-4DCA-8E34-3CA298178A8B}"/>
  <sortState xmlns:xlrd2="http://schemas.microsoft.com/office/spreadsheetml/2017/richdata2" ref="A2:E13">
    <sortCondition ref="A1:A13"/>
  </sortState>
  <tableColumns count="5">
    <tableColumn id="1" xr3:uid="{8C8E0191-AB97-491A-9CD9-2D7EF277F367}" uniqueName="1" name="company_key" queryTableFieldId="1"/>
    <tableColumn id="2" xr3:uid="{56F55EAE-DE1A-4A5D-9781-4A53FA2B93CD}" uniqueName="2" name="product_key" queryTableFieldId="2"/>
    <tableColumn id="3" xr3:uid="{A2533F7B-8C1E-4700-B21D-538E7D029C23}" uniqueName="3" name="quality_level" queryTableFieldId="3"/>
    <tableColumn id="4" xr3:uid="{A1AE8AA2-FC39-4C78-A2D6-A5D8ECE6E10C}" uniqueName="4" name="units_consumed_per_hour" queryTableFieldId="4"/>
    <tableColumn id="5" xr3:uid="{483EB62E-6A1B-4111-B711-D04593AE9F0B}" uniqueName="5" name="product_name" queryTableFieldId="5" dataDxfId="11"/>
  </tableColumns>
  <tableStyleInfo name="Output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2A35A96-F0A5-49FF-B9D6-2619AA2BD39E}" name="_out_product_bom_demand_detail" displayName="_out_product_bom_demand_detail" ref="A1:H37" tableType="queryTable" totalsRowShown="0">
  <autoFilter ref="A1:H37" xr:uid="{92A35A96-F0A5-49FF-B9D6-2619AA2BD39E}"/>
  <tableColumns count="8">
    <tableColumn id="1" xr3:uid="{412FC8EA-6986-4A42-A543-5ECDAF655279}" uniqueName="1" name="company_key" queryTableFieldId="1"/>
    <tableColumn id="2" xr3:uid="{84B2F793-9F61-4994-AE18-A052E8FCE589}" uniqueName="2" name="source_product_key" queryTableFieldId="2"/>
    <tableColumn id="3" xr3:uid="{C263B1F9-F25D-486E-9413-26B3C2A0D39F}" uniqueName="3" name="source_quality_level" queryTableFieldId="3"/>
    <tableColumn id="4" xr3:uid="{F5212469-3B66-48CE-8254-F13CE3EB8E37}" uniqueName="4" name="demanded_product_key" queryTableFieldId="4"/>
    <tableColumn id="5" xr3:uid="{30BA9A29-1C72-4B96-8939-714475FC1528}" uniqueName="5" name="demanded_quality_level" queryTableFieldId="5"/>
    <tableColumn id="6" xr3:uid="{367C8743-5F23-4CCC-AFA1-EDA2E2D83922}" uniqueName="6" name="units_consumed_per_hour" queryTableFieldId="6"/>
    <tableColumn id="7" xr3:uid="{FB428588-CB05-4E31-BC98-D5D28BD4C411}" uniqueName="7" name="source_product_name" queryTableFieldId="7" dataDxfId="10"/>
    <tableColumn id="8" xr3:uid="{FE6C7E36-742E-4428-B671-3505D0C34606}" uniqueName="8" name="demanded_product_name" queryTableFieldId="8" dataDxfId="9"/>
  </tableColumns>
  <tableStyleInfo name="Output 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_out_balance_plan" displayName="_out_balance_plan" ref="A1:I18" tableType="queryTable" totalsRowShown="0">
  <autoFilter ref="A1:I18" xr:uid="{1300D389-4E92-4A3B-9E05-7AEF65561BAE}"/>
  <tableColumns count="9">
    <tableColumn id="1" xr3:uid="{CD694EE8-0E4E-4F94-9345-A8C2B43CB088}" uniqueName="1" name="company_key" queryTableFieldId="1"/>
    <tableColumn id="3" xr3:uid="{1D85DA38-5909-4CCF-8FE1-583DBC40D70B}" uniqueName="3" name="product_key" queryTableFieldId="3"/>
    <tableColumn id="4" xr3:uid="{C0C835D5-9574-4FA9-AE20-F8A347F7017A}" uniqueName="4" name="quality_level" queryTableFieldId="4"/>
    <tableColumn id="2" xr3:uid="{7427E588-5B6D-4486-B600-2E65052DF902}" uniqueName="2" name="net_units_per_hour" queryTableFieldId="2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  <tableColumn id="9" xr3:uid="{BBB6619B-7374-41EA-A54B-DC515532AABE}" uniqueName="9" name="product_name" queryTableFieldId="9" dataDxfId="8"/>
  </tableColumns>
  <tableStyleInfo name="Output 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_out_clearing_result" displayName="_out_clearing_result" ref="A1:I16" tableType="queryTable" totalsRowShown="0">
  <autoFilter ref="A1:I16" xr:uid="{04728E40-C452-47A7-BBD7-A726D5BEB2C3}"/>
  <tableColumns count="9">
    <tableColumn id="3" xr3:uid="{5791FDDD-B276-47FE-878E-7A735D7E9E2D}" uniqueName="3" name="company_key" queryTableFieldId="3"/>
    <tableColumn id="6" xr3:uid="{C4B02CD3-AE0F-4C2D-837B-3D2259AB1E26}" uniqueName="6" name="product_key" queryTableFieldId="6"/>
    <tableColumn id="7" xr3:uid="{99A70940-FFC9-4B37-9C35-8FE8C8ACF9A9}" uniqueName="7" name="quality_level" queryTableFieldId="7"/>
    <tableColumn id="5" xr3:uid="{90237FDB-7C99-4B5C-8AB8-6C1F09B9763E}" uniqueName="5" name="priority" queryTableFieldId="5"/>
    <tableColumn id="2" xr3:uid="{CE81D9B4-8423-4A71-A899-D1DFC5FB7850}" uniqueName="2" name="channel_key" queryTableFieldId="2"/>
    <tableColumn id="4" xr3:uid="{1D503F3A-EAFB-4C9F-B853-82A1EA04253D}" uniqueName="4" name="direction" queryTableFieldId="4" dataDxfId="7"/>
    <tableColumn id="1" xr3:uid="{5EF46A99-A05D-4CB4-BAD9-B069B6B7F8A1}" uniqueName="1" name="allocated_units_per_hour" queryTableFieldId="1"/>
    <tableColumn id="8" xr3:uid="{03EA8B44-09C3-41F7-B24E-E4B3174B1E09}" uniqueName="8" name="product_name" queryTableFieldId="8" dataDxfId="6"/>
    <tableColumn id="9" xr3:uid="{DD1FC67C-D380-4BD2-956B-ACDA8DD6557C}" uniqueName="9" name="channel_name" queryTableFieldId="9" dataDxfId="5"/>
  </tableColumns>
  <tableStyleInfo name="Output 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out_allocation_summary" displayName="out_allocation_summary" ref="A1:H14" tableType="queryTable" totalsRowShown="0">
  <autoFilter ref="A1:H14" xr:uid="{4E17DF3E-5287-440B-A27E-FDA3DFDDFF33}"/>
  <tableColumns count="8">
    <tableColumn id="1" xr3:uid="{1102F6B8-9954-4D5C-AD18-3BFED75176A4}" uniqueName="1" name="company_key" queryTableFieldId="1"/>
    <tableColumn id="4" xr3:uid="{AAF48A8B-4F4E-47D1-A916-4BB4135B0C7F}" uniqueName="4" name="product_key" queryTableFieldId="4"/>
    <tableColumn id="5" xr3:uid="{FFA5452B-04C7-4967-B42F-CC4790573792}" uniqueName="5" name="quality_level" queryTableFieldId="5"/>
    <tableColumn id="7" xr3:uid="{6EBA1416-3D6F-48A8-AA56-28F12A4F4BB4}" uniqueName="7" name="total_units_per_hour" queryTableFieldId="7"/>
    <tableColumn id="6" xr3:uid="{B74818DF-163E-4C1E-8ADE-4AE2CFA893ED}" uniqueName="6" name="retail_units_per_hour" queryTableFieldId="6"/>
    <tableColumn id="3" xr3:uid="{E7D5A5EC-052E-49F4-B9BB-72AD25507D44}" uniqueName="3" name="non_retail_units_per_hour" queryTableFieldId="3"/>
    <tableColumn id="2" xr3:uid="{EAE8025A-D2AD-4D25-AF70-210DBFC172ED}" uniqueName="2" name="is_retail_capped" queryTableFieldId="2"/>
    <tableColumn id="8" xr3:uid="{1E76A64A-A899-4066-AFDE-8A625545F62B}" uniqueName="8" name="product_name" queryTableFieldId="8" dataDxfId="4"/>
  </tableColumns>
  <tableStyleInfo name="Output 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1CEB7A0-5441-4CB3-AB07-BBB188DE38E7}" name="ref_building" displayName="ref_building" ref="A1:B55" totalsRowShown="0">
  <autoFilter ref="A1:B55" xr:uid="{71CEB7A0-5441-4CB3-AB07-BBB188DE38E7}"/>
  <tableColumns count="2">
    <tableColumn id="1" xr3:uid="{F97DF7DB-8360-468A-ACCF-D7A55216DD75}" name="building_key"/>
    <tableColumn id="2" xr3:uid="{26A03A64-D351-4E34-8751-BDBB6D93481B}" name="building_name"/>
  </tableColumns>
  <tableStyleInfo name="Sys Tables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E282BE-265F-49C0-8909-AC3DB09C5A52}" name="ref_product" displayName="ref_product" ref="A1:B152" totalsRowShown="0">
  <autoFilter ref="A1:B152" xr:uid="{B0E282BE-265F-49C0-8909-AC3DB09C5A52}"/>
  <tableColumns count="2">
    <tableColumn id="1" xr3:uid="{E5A18846-E6FE-4D9B-9446-C23C4C99BBD1}" name="product_key"/>
    <tableColumn id="2" xr3:uid="{F53AD5E5-CF7B-481F-A72C-CA843DF48410}" name="product_name"/>
  </tableColumns>
  <tableStyleInfo name="Sys Tables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6903590-A679-48CC-AB0E-B158BB9923AC}" name="ref_realm" displayName="ref_realm" ref="A1:B3" totalsRowShown="0">
  <autoFilter ref="A1:B3" xr:uid="{66903590-A679-48CC-AB0E-B158BB9923AC}"/>
  <tableColumns count="2">
    <tableColumn id="1" xr3:uid="{E65FFD69-60EC-4FA9-83AF-C2BDD8F49AB6}" name="realm_key"/>
    <tableColumn id="2" xr3:uid="{A16FF48E-8A9B-4C24-9F40-95AB859620B2}" name="realm_name"/>
  </tableColumns>
  <tableStyleInfo name="Sys Tables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0FC1CA8-B250-4342-A5ED-FF7A339CD631}" name="ref_channel" displayName="ref_channel" ref="A1:B4" totalsRowShown="0">
  <autoFilter ref="A1:B4" xr:uid="{B0FC1CA8-B250-4342-A5ED-FF7A339CD631}"/>
  <tableColumns count="2">
    <tableColumn id="1" xr3:uid="{F3B48825-F478-41E7-AEC7-2EA839F38DEF}" name="channel_key"/>
    <tableColumn id="2" xr3:uid="{507A2D3E-3482-44CA-AE4C-E2DF4585E7CF}" name="channel_name"/>
  </tableColumns>
  <tableStyleInfo name="Sys Tables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3733F90-889E-449A-B0AB-9458765C214E}" name="_out_retail_allocation_result" displayName="_out_retail_allocation_result" ref="A1:H2" tableType="queryTable" totalsRowShown="0">
  <autoFilter ref="A1:H2" xr:uid="{A3733F90-889E-449A-B0AB-9458765C214E}"/>
  <tableColumns count="8">
    <tableColumn id="1" xr3:uid="{4C5EF2B0-2B88-40AA-8193-7F7576C1BDB8}" uniqueName="1" name="company_key" queryTableFieldId="1"/>
    <tableColumn id="2" xr3:uid="{79325638-C392-4200-9DE5-27C73911C159}" uniqueName="2" name="product_key" queryTableFieldId="2"/>
    <tableColumn id="3" xr3:uid="{F01A16B7-B2EB-4E1F-A242-9D90CE4CF7B6}" uniqueName="3" name="quality_level" queryTableFieldId="3"/>
    <tableColumn id="4" xr3:uid="{DA9142A3-1342-4C07-8052-14906205B47A}" uniqueName="4" name="building_key" queryTableFieldId="4"/>
    <tableColumn id="5" xr3:uid="{ABCD8945-D31D-4B4E-B821-38853237288C}" uniqueName="5" name="priority" queryTableFieldId="5"/>
    <tableColumn id="6" xr3:uid="{54E5B1F8-7232-4A32-AF97-BA483E364E0C}" uniqueName="6" name="allocated_units_per_hour" queryTableFieldId="6"/>
    <tableColumn id="7" xr3:uid="{1A5FBD87-EFD3-418A-81DF-9217E53B18B9}" uniqueName="7" name="product_name" queryTableFieldId="7" dataDxfId="1"/>
    <tableColumn id="8" xr3:uid="{F8439278-4E92-42E6-9BEE-56DA9E6A1218}" uniqueName="8" name="building_name" queryTableFieldId="8" dataDxfId="0"/>
  </tableColumns>
  <tableStyleInfo name="Output Table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Custom 1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sqref="A1: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55</v>
      </c>
      <c r="B1" t="s">
        <v>56</v>
      </c>
    </row>
    <row r="2" spans="1:2" x14ac:dyDescent="0.3">
      <c r="A2" t="s">
        <v>57</v>
      </c>
      <c r="B2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14FED-8A8C-45AB-BE9F-5A3311BDAA3E}">
  <dimension ref="A1:B4"/>
  <sheetViews>
    <sheetView workbookViewId="0"/>
  </sheetViews>
  <sheetFormatPr defaultRowHeight="16.5" x14ac:dyDescent="0.3"/>
  <cols>
    <col min="1" max="1" width="20.75" customWidth="1"/>
    <col min="2" max="2" width="22.625" customWidth="1"/>
  </cols>
  <sheetData>
    <row r="1" spans="1:2" x14ac:dyDescent="0.3">
      <c r="A1" t="s">
        <v>282</v>
      </c>
      <c r="B1" t="s">
        <v>283</v>
      </c>
    </row>
    <row r="2" spans="1:2" x14ac:dyDescent="0.3">
      <c r="A2">
        <v>1</v>
      </c>
      <c r="B2" t="s">
        <v>284</v>
      </c>
    </row>
    <row r="3" spans="1:2" x14ac:dyDescent="0.3">
      <c r="A3">
        <v>2</v>
      </c>
      <c r="B3" t="s">
        <v>285</v>
      </c>
    </row>
    <row r="4" spans="1:2" x14ac:dyDescent="0.3">
      <c r="A4">
        <v>3</v>
      </c>
      <c r="B4" t="s">
        <v>286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L198"/>
  <sheetViews>
    <sheetView showGridLines="0" tabSelected="1" topLeftCell="A109" workbookViewId="0">
      <selection activeCell="C121" sqref="C121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3.25" bestFit="1" customWidth="1"/>
    <col min="6" max="6" width="24.75" bestFit="1" customWidth="1"/>
    <col min="7" max="7" width="25.375" customWidth="1"/>
    <col min="8" max="8" width="24.625" bestFit="1" customWidth="1"/>
    <col min="9" max="9" width="20.625" customWidth="1"/>
    <col min="10" max="10" width="25.875" customWidth="1"/>
    <col min="11" max="11" width="10.625" customWidth="1"/>
  </cols>
  <sheetData>
    <row r="5" spans="1:12" x14ac:dyDescent="0.3">
      <c r="A5" s="2" t="s">
        <v>0</v>
      </c>
      <c r="B5" s="1"/>
      <c r="C5" s="1"/>
    </row>
    <row r="6" spans="1:12" x14ac:dyDescent="0.3">
      <c r="A6" s="6" t="s">
        <v>59</v>
      </c>
      <c r="B6" t="s">
        <v>267</v>
      </c>
      <c r="C6" t="s">
        <v>265</v>
      </c>
      <c r="D6" t="s">
        <v>264</v>
      </c>
      <c r="E6" t="s">
        <v>283</v>
      </c>
      <c r="F6" t="s">
        <v>282</v>
      </c>
      <c r="G6" t="s">
        <v>268</v>
      </c>
      <c r="H6" t="s">
        <v>269</v>
      </c>
      <c r="I6" t="s">
        <v>278</v>
      </c>
      <c r="J6" t="s">
        <v>279</v>
      </c>
      <c r="K6" t="s">
        <v>270</v>
      </c>
      <c r="L6" t="s">
        <v>271</v>
      </c>
    </row>
    <row r="7" spans="1:12" x14ac:dyDescent="0.3">
      <c r="A7">
        <v>1</v>
      </c>
      <c r="B7" t="s">
        <v>5</v>
      </c>
      <c r="C7" t="s">
        <v>6</v>
      </c>
      <c r="D7" s="7">
        <f>_xlfn.XLOOKUP(tblCompany[[#This Row],[realm_name]],ref_realm[realm_name],ref_realm[realm_key])</f>
        <v>1</v>
      </c>
      <c r="E7" t="s">
        <v>284</v>
      </c>
      <c r="F7" s="7">
        <f>_xlfn.XLOOKUP(tblCompany[[#This Row],[economic_phase_name]],ref_economic_phase[economic_phase_name],ref_economic_phase[economic_phase_key])</f>
        <v>1</v>
      </c>
      <c r="G7">
        <v>20</v>
      </c>
      <c r="H7" s="4">
        <v>46172.427865972226</v>
      </c>
      <c r="I7" s="8">
        <v>0.04</v>
      </c>
      <c r="J7" s="8">
        <v>0</v>
      </c>
      <c r="K7" s="3" t="b">
        <v>1</v>
      </c>
    </row>
    <row r="8" spans="1:12" x14ac:dyDescent="0.3">
      <c r="A8">
        <v>2</v>
      </c>
      <c r="B8" t="s">
        <v>5</v>
      </c>
      <c r="C8" t="s">
        <v>7</v>
      </c>
      <c r="D8" s="7">
        <f>_xlfn.XLOOKUP(tblCompany[[#This Row],[realm_name]],ref_realm[realm_name],ref_realm[realm_key])</f>
        <v>2</v>
      </c>
      <c r="E8" t="s">
        <v>285</v>
      </c>
      <c r="F8" s="7">
        <f>_xlfn.XLOOKUP(tblCompany[[#This Row],[economic_phase_name]],ref_economic_phase[economic_phase_name],ref_economic_phase[economic_phase_key])</f>
        <v>2</v>
      </c>
      <c r="G8">
        <v>19</v>
      </c>
      <c r="H8" s="4">
        <v>46172.427865972226</v>
      </c>
      <c r="I8" s="8">
        <v>0</v>
      </c>
      <c r="J8" s="8">
        <v>0.03</v>
      </c>
      <c r="K8" s="3" t="b">
        <v>1</v>
      </c>
    </row>
    <row r="19" spans="1:8" x14ac:dyDescent="0.3">
      <c r="A19" s="2" t="s">
        <v>1</v>
      </c>
      <c r="B19" s="1"/>
      <c r="C19" s="1"/>
    </row>
    <row r="20" spans="1:8" x14ac:dyDescent="0.3">
      <c r="A20" s="6" t="s">
        <v>59</v>
      </c>
      <c r="B20" t="s">
        <v>280</v>
      </c>
      <c r="C20" t="s">
        <v>82</v>
      </c>
      <c r="D20" t="s">
        <v>81</v>
      </c>
      <c r="E20" t="s">
        <v>272</v>
      </c>
      <c r="F20" t="s">
        <v>273</v>
      </c>
      <c r="G20" t="s">
        <v>270</v>
      </c>
      <c r="H20" t="s">
        <v>271</v>
      </c>
    </row>
    <row r="21" spans="1:8" x14ac:dyDescent="0.3">
      <c r="A21">
        <v>1</v>
      </c>
      <c r="B21">
        <v>1</v>
      </c>
      <c r="C21" t="s">
        <v>8</v>
      </c>
      <c r="D21" s="7">
        <f>_xlfn.XLOOKUP(tblMapStructure[[#This Row],[building_name]],ref_building[building_name],ref_building[building_key])</f>
        <v>41</v>
      </c>
      <c r="E21">
        <v>8</v>
      </c>
      <c r="F21" s="3" t="b">
        <v>0</v>
      </c>
      <c r="G21" s="3" t="b">
        <v>1</v>
      </c>
    </row>
    <row r="22" spans="1:8" x14ac:dyDescent="0.3">
      <c r="A22">
        <v>1</v>
      </c>
      <c r="B22">
        <v>2</v>
      </c>
      <c r="C22" t="s">
        <v>8</v>
      </c>
      <c r="D22" s="7">
        <f>_xlfn.XLOOKUP(tblMapStructure[[#This Row],[building_name]],ref_building[building_name],ref_building[building_key])</f>
        <v>41</v>
      </c>
      <c r="E22">
        <v>4</v>
      </c>
      <c r="F22" s="3" t="b">
        <v>0</v>
      </c>
      <c r="G22" s="3" t="b">
        <v>1</v>
      </c>
    </row>
    <row r="23" spans="1:8" x14ac:dyDescent="0.3">
      <c r="A23">
        <v>1</v>
      </c>
      <c r="B23">
        <v>3</v>
      </c>
      <c r="C23" t="s">
        <v>8</v>
      </c>
      <c r="D23" s="7">
        <f>_xlfn.XLOOKUP(tblMapStructure[[#This Row],[building_name]],ref_building[building_name],ref_building[building_key])</f>
        <v>41</v>
      </c>
      <c r="E23">
        <v>4</v>
      </c>
      <c r="F23" s="3" t="b">
        <v>0</v>
      </c>
      <c r="G23" s="3" t="b">
        <v>1</v>
      </c>
    </row>
    <row r="24" spans="1:8" x14ac:dyDescent="0.3">
      <c r="A24">
        <v>1</v>
      </c>
      <c r="B24">
        <v>4</v>
      </c>
      <c r="C24" t="s">
        <v>8</v>
      </c>
      <c r="D24" s="7">
        <f>_xlfn.XLOOKUP(tblMapStructure[[#This Row],[building_name]],ref_building[building_name],ref_building[building_key])</f>
        <v>41</v>
      </c>
      <c r="E24">
        <v>2</v>
      </c>
      <c r="F24" s="3" t="b">
        <v>0</v>
      </c>
      <c r="G24" s="3" t="b">
        <v>1</v>
      </c>
    </row>
    <row r="25" spans="1:8" x14ac:dyDescent="0.3">
      <c r="A25">
        <v>1</v>
      </c>
      <c r="B25">
        <v>5</v>
      </c>
      <c r="C25" t="s">
        <v>9</v>
      </c>
      <c r="D25" s="7">
        <f>_xlfn.XLOOKUP(tblMapStructure[[#This Row],[building_name]],ref_building[building_name],ref_building[building_key])</f>
        <v>53</v>
      </c>
      <c r="E25">
        <v>1</v>
      </c>
      <c r="F25" s="3" t="b">
        <v>0</v>
      </c>
      <c r="G25" s="3" t="b">
        <v>1</v>
      </c>
    </row>
    <row r="26" spans="1:8" x14ac:dyDescent="0.3">
      <c r="A26">
        <v>1</v>
      </c>
      <c r="B26">
        <v>6</v>
      </c>
      <c r="C26" t="s">
        <v>10</v>
      </c>
      <c r="D26" s="7">
        <f>_xlfn.XLOOKUP(tblMapStructure[[#This Row],[building_name]],ref_building[building_name],ref_building[building_key])</f>
        <v>17</v>
      </c>
      <c r="E26">
        <v>1</v>
      </c>
      <c r="F26" s="3" t="b">
        <v>0</v>
      </c>
      <c r="G26" s="3" t="b">
        <v>1</v>
      </c>
    </row>
    <row r="27" spans="1:8" x14ac:dyDescent="0.3">
      <c r="A27">
        <v>1</v>
      </c>
      <c r="B27">
        <v>7</v>
      </c>
      <c r="C27" t="s">
        <v>10</v>
      </c>
      <c r="D27" s="7">
        <f>_xlfn.XLOOKUP(tblMapStructure[[#This Row],[building_name]],ref_building[building_name],ref_building[building_key])</f>
        <v>17</v>
      </c>
      <c r="E27">
        <v>1</v>
      </c>
      <c r="F27" s="3" t="b">
        <v>0</v>
      </c>
      <c r="G27" s="3" t="b">
        <v>1</v>
      </c>
    </row>
    <row r="28" spans="1:8" x14ac:dyDescent="0.3">
      <c r="A28">
        <v>1</v>
      </c>
      <c r="B28">
        <v>8</v>
      </c>
      <c r="C28" t="s">
        <v>11</v>
      </c>
      <c r="D28" s="7">
        <f>_xlfn.XLOOKUP(tblMapStructure[[#This Row],[building_name]],ref_building[building_name],ref_building[building_key])</f>
        <v>19</v>
      </c>
      <c r="E28">
        <v>1</v>
      </c>
      <c r="F28" s="3" t="b">
        <v>0</v>
      </c>
      <c r="G28" s="3" t="b">
        <v>1</v>
      </c>
    </row>
    <row r="29" spans="1:8" x14ac:dyDescent="0.3">
      <c r="A29">
        <v>1</v>
      </c>
      <c r="B29">
        <v>9</v>
      </c>
      <c r="C29" t="s">
        <v>11</v>
      </c>
      <c r="D29" s="7">
        <f>_xlfn.XLOOKUP(tblMapStructure[[#This Row],[building_name]],ref_building[building_name],ref_building[building_key])</f>
        <v>19</v>
      </c>
      <c r="E29">
        <v>1</v>
      </c>
      <c r="F29" s="3" t="b">
        <v>0</v>
      </c>
      <c r="G29" s="3" t="b">
        <v>1</v>
      </c>
    </row>
    <row r="30" spans="1:8" x14ac:dyDescent="0.3">
      <c r="A30">
        <v>1</v>
      </c>
      <c r="B30">
        <v>10</v>
      </c>
      <c r="C30" t="s">
        <v>12</v>
      </c>
      <c r="D30" s="7">
        <f>_xlfn.XLOOKUP(tblMapStructure[[#This Row],[building_name]],ref_building[building_name],ref_building[building_key])</f>
        <v>36</v>
      </c>
      <c r="E30">
        <v>2</v>
      </c>
      <c r="F30" s="3" t="b">
        <v>0</v>
      </c>
      <c r="G30" s="3" t="b">
        <v>1</v>
      </c>
    </row>
    <row r="31" spans="1:8" x14ac:dyDescent="0.3">
      <c r="A31">
        <v>1</v>
      </c>
      <c r="B31">
        <v>11</v>
      </c>
      <c r="C31" t="s">
        <v>12</v>
      </c>
      <c r="D31" s="7">
        <f>_xlfn.XLOOKUP(tblMapStructure[[#This Row],[building_name]],ref_building[building_name],ref_building[building_key])</f>
        <v>36</v>
      </c>
      <c r="E31">
        <v>2</v>
      </c>
      <c r="F31" s="3" t="b">
        <v>0</v>
      </c>
      <c r="G31" s="3" t="b">
        <v>1</v>
      </c>
    </row>
    <row r="32" spans="1:8" x14ac:dyDescent="0.3">
      <c r="A32">
        <v>1</v>
      </c>
      <c r="B32">
        <v>12</v>
      </c>
      <c r="C32" t="s">
        <v>12</v>
      </c>
      <c r="D32" s="7">
        <f>_xlfn.XLOOKUP(tblMapStructure[[#This Row],[building_name]],ref_building[building_name],ref_building[building_key])</f>
        <v>36</v>
      </c>
      <c r="E32">
        <v>2</v>
      </c>
      <c r="F32" s="3" t="b">
        <v>0</v>
      </c>
      <c r="G32" s="3" t="b">
        <v>1</v>
      </c>
    </row>
    <row r="33" spans="1:8" x14ac:dyDescent="0.3">
      <c r="A33">
        <v>1</v>
      </c>
      <c r="B33">
        <v>13</v>
      </c>
      <c r="C33" t="s">
        <v>12</v>
      </c>
      <c r="D33" s="7">
        <f>_xlfn.XLOOKUP(tblMapStructure[[#This Row],[building_name]],ref_building[building_name],ref_building[building_key])</f>
        <v>36</v>
      </c>
      <c r="E33">
        <v>2</v>
      </c>
      <c r="F33" s="3" t="b">
        <v>0</v>
      </c>
      <c r="G33" s="3" t="b">
        <v>0</v>
      </c>
      <c r="H33" t="s">
        <v>13</v>
      </c>
    </row>
    <row r="34" spans="1:8" x14ac:dyDescent="0.3">
      <c r="A34">
        <v>2</v>
      </c>
      <c r="B34">
        <v>1</v>
      </c>
      <c r="C34" t="s">
        <v>8</v>
      </c>
      <c r="D34" s="7">
        <f>_xlfn.XLOOKUP(tblMapStructure[[#This Row],[building_name]],ref_building[building_name],ref_building[building_key])</f>
        <v>41</v>
      </c>
      <c r="E34">
        <v>1</v>
      </c>
      <c r="F34" s="3" t="b">
        <v>0</v>
      </c>
      <c r="G34" s="3" t="b">
        <v>1</v>
      </c>
    </row>
    <row r="35" spans="1:8" x14ac:dyDescent="0.3">
      <c r="A35">
        <v>2</v>
      </c>
      <c r="B35">
        <v>2</v>
      </c>
      <c r="C35" t="s">
        <v>9</v>
      </c>
      <c r="D35" s="7">
        <f>_xlfn.XLOOKUP(tblMapStructure[[#This Row],[building_name]],ref_building[building_name],ref_building[building_key])</f>
        <v>53</v>
      </c>
      <c r="E35">
        <v>1</v>
      </c>
      <c r="F35" s="3" t="b">
        <v>0</v>
      </c>
      <c r="G35" s="3" t="b">
        <v>1</v>
      </c>
    </row>
    <row r="36" spans="1:8" x14ac:dyDescent="0.3">
      <c r="A36">
        <v>2</v>
      </c>
      <c r="B36">
        <v>3</v>
      </c>
      <c r="C36" t="s">
        <v>14</v>
      </c>
      <c r="D36" s="7">
        <f>_xlfn.XLOOKUP(tblMapStructure[[#This Row],[building_name]],ref_building[building_name],ref_building[building_key])</f>
        <v>20</v>
      </c>
      <c r="E36">
        <v>2</v>
      </c>
      <c r="F36" s="3" t="b">
        <v>0</v>
      </c>
      <c r="G36" s="3" t="b">
        <v>1</v>
      </c>
    </row>
    <row r="37" spans="1:8" x14ac:dyDescent="0.3">
      <c r="A37">
        <v>2</v>
      </c>
      <c r="B37">
        <v>4</v>
      </c>
      <c r="C37" t="s">
        <v>15</v>
      </c>
      <c r="D37" s="7">
        <f>_xlfn.XLOOKUP(tblMapStructure[[#This Row],[building_name]],ref_building[building_name],ref_building[building_key])</f>
        <v>24</v>
      </c>
      <c r="E37">
        <v>2</v>
      </c>
      <c r="F37" s="3" t="b">
        <v>0</v>
      </c>
      <c r="G37" s="3" t="b">
        <v>1</v>
      </c>
    </row>
    <row r="38" spans="1:8" x14ac:dyDescent="0.3">
      <c r="A38">
        <v>2</v>
      </c>
      <c r="B38">
        <v>5</v>
      </c>
      <c r="C38" t="s">
        <v>16</v>
      </c>
      <c r="D38" s="7">
        <f>_xlfn.XLOOKUP(tblMapStructure[[#This Row],[building_name]],ref_building[building_name],ref_building[building_key])</f>
        <v>8</v>
      </c>
      <c r="E38">
        <v>1</v>
      </c>
      <c r="F38" s="3" t="b">
        <v>0</v>
      </c>
      <c r="G38" s="3" t="b">
        <v>1</v>
      </c>
    </row>
    <row r="39" spans="1:8" x14ac:dyDescent="0.3">
      <c r="A39">
        <v>2</v>
      </c>
      <c r="B39">
        <v>6</v>
      </c>
      <c r="C39" t="s">
        <v>17</v>
      </c>
      <c r="D39" s="7">
        <f>_xlfn.XLOOKUP(tblMapStructure[[#This Row],[building_name]],ref_building[building_name],ref_building[building_key])</f>
        <v>28</v>
      </c>
      <c r="E39">
        <v>2</v>
      </c>
      <c r="F39" s="3" t="b">
        <v>0</v>
      </c>
      <c r="G39" s="3" t="b">
        <v>1</v>
      </c>
    </row>
    <row r="40" spans="1:8" x14ac:dyDescent="0.3">
      <c r="A40">
        <v>2</v>
      </c>
      <c r="B40">
        <v>7</v>
      </c>
      <c r="C40" t="s">
        <v>17</v>
      </c>
      <c r="D40" s="7">
        <f>_xlfn.XLOOKUP(tblMapStructure[[#This Row],[building_name]],ref_building[building_name],ref_building[building_key])</f>
        <v>28</v>
      </c>
      <c r="E40">
        <v>2</v>
      </c>
      <c r="F40" s="3" t="b">
        <v>0</v>
      </c>
      <c r="G40" s="3" t="b">
        <v>1</v>
      </c>
    </row>
    <row r="41" spans="1:8" x14ac:dyDescent="0.3">
      <c r="A41">
        <v>2</v>
      </c>
      <c r="B41">
        <v>8</v>
      </c>
      <c r="C41" t="s">
        <v>17</v>
      </c>
      <c r="D41" s="7">
        <f>_xlfn.XLOOKUP(tblMapStructure[[#This Row],[building_name]],ref_building[building_name],ref_building[building_key])</f>
        <v>28</v>
      </c>
      <c r="E41">
        <v>2</v>
      </c>
      <c r="F41" s="3" t="b">
        <v>0</v>
      </c>
      <c r="G41" s="3" t="b">
        <v>1</v>
      </c>
    </row>
    <row r="42" spans="1:8" x14ac:dyDescent="0.3">
      <c r="A42">
        <v>2</v>
      </c>
      <c r="B42">
        <v>9</v>
      </c>
      <c r="C42" t="s">
        <v>17</v>
      </c>
      <c r="D42" s="7">
        <f>_xlfn.XLOOKUP(tblMapStructure[[#This Row],[building_name]],ref_building[building_name],ref_building[building_key])</f>
        <v>28</v>
      </c>
      <c r="E42">
        <v>2</v>
      </c>
      <c r="F42" s="3" t="b">
        <v>0</v>
      </c>
      <c r="G42" s="3" t="b">
        <v>1</v>
      </c>
    </row>
    <row r="43" spans="1:8" x14ac:dyDescent="0.3">
      <c r="A43">
        <v>2</v>
      </c>
      <c r="B43">
        <v>10</v>
      </c>
      <c r="C43" t="s">
        <v>17</v>
      </c>
      <c r="D43" s="7">
        <f>_xlfn.XLOOKUP(tblMapStructure[[#This Row],[building_name]],ref_building[building_name],ref_building[building_key])</f>
        <v>28</v>
      </c>
      <c r="E43">
        <v>2</v>
      </c>
      <c r="F43" s="3" t="b">
        <v>0</v>
      </c>
      <c r="G43" s="3" t="b">
        <v>1</v>
      </c>
    </row>
    <row r="60" spans="1:8" x14ac:dyDescent="0.3">
      <c r="A60" s="2" t="s">
        <v>2</v>
      </c>
      <c r="B60" s="1"/>
      <c r="C60" s="1"/>
    </row>
    <row r="61" spans="1:8" x14ac:dyDescent="0.3">
      <c r="A61" s="6" t="s">
        <v>59</v>
      </c>
      <c r="B61" t="s">
        <v>280</v>
      </c>
      <c r="C61" t="s">
        <v>128</v>
      </c>
      <c r="D61" t="s">
        <v>35</v>
      </c>
      <c r="E61" t="s">
        <v>36</v>
      </c>
      <c r="F61" t="s">
        <v>281</v>
      </c>
      <c r="G61" t="s">
        <v>270</v>
      </c>
      <c r="H61" t="s">
        <v>271</v>
      </c>
    </row>
    <row r="62" spans="1:8" x14ac:dyDescent="0.3">
      <c r="A62">
        <v>1</v>
      </c>
      <c r="B62">
        <v>1</v>
      </c>
      <c r="C62" t="s">
        <v>18</v>
      </c>
      <c r="D62" s="7">
        <f>_xlfn.XLOOKUP(tblProductionPlan[[#This Row],[product_name]],ref_product[product_name],ref_product[product_key])</f>
        <v>102</v>
      </c>
      <c r="E62">
        <v>2</v>
      </c>
      <c r="F62" s="8">
        <v>1</v>
      </c>
      <c r="G62" s="3" t="b">
        <v>1</v>
      </c>
    </row>
    <row r="63" spans="1:8" x14ac:dyDescent="0.3">
      <c r="A63">
        <v>1</v>
      </c>
      <c r="B63">
        <v>2</v>
      </c>
      <c r="C63" t="s">
        <v>18</v>
      </c>
      <c r="D63" s="7">
        <f>_xlfn.XLOOKUP(tblProductionPlan[[#This Row],[product_name]],ref_product[product_name],ref_product[product_key])</f>
        <v>102</v>
      </c>
      <c r="E63">
        <v>2</v>
      </c>
      <c r="F63" s="8">
        <v>1</v>
      </c>
      <c r="G63" s="3" t="b">
        <v>1</v>
      </c>
    </row>
    <row r="64" spans="1:8" x14ac:dyDescent="0.3">
      <c r="A64">
        <v>1</v>
      </c>
      <c r="B64">
        <v>3</v>
      </c>
      <c r="C64" t="s">
        <v>18</v>
      </c>
      <c r="D64" s="7">
        <f>_xlfn.XLOOKUP(tblProductionPlan[[#This Row],[product_name]],ref_product[product_name],ref_product[product_key])</f>
        <v>102</v>
      </c>
      <c r="E64">
        <v>2</v>
      </c>
      <c r="F64" s="8">
        <v>1</v>
      </c>
      <c r="G64" s="3" t="b">
        <v>1</v>
      </c>
    </row>
    <row r="65" spans="1:7" x14ac:dyDescent="0.3">
      <c r="A65">
        <v>1</v>
      </c>
      <c r="B65">
        <v>4</v>
      </c>
      <c r="C65" t="s">
        <v>18</v>
      </c>
      <c r="D65" s="7">
        <f>_xlfn.XLOOKUP(tblProductionPlan[[#This Row],[product_name]],ref_product[product_name],ref_product[product_key])</f>
        <v>102</v>
      </c>
      <c r="E65">
        <v>2</v>
      </c>
      <c r="F65" s="8">
        <v>1</v>
      </c>
      <c r="G65" s="3" t="b">
        <v>1</v>
      </c>
    </row>
    <row r="66" spans="1:7" x14ac:dyDescent="0.3">
      <c r="A66">
        <v>1</v>
      </c>
      <c r="B66">
        <v>5</v>
      </c>
      <c r="C66" t="s">
        <v>19</v>
      </c>
      <c r="D66" s="7">
        <f>_xlfn.XLOOKUP(tblProductionPlan[[#This Row],[product_name]],ref_product[product_name],ref_product[product_key])</f>
        <v>145</v>
      </c>
      <c r="E66">
        <v>2</v>
      </c>
      <c r="F66" s="8">
        <v>1</v>
      </c>
      <c r="G66" s="3" t="b">
        <v>1</v>
      </c>
    </row>
    <row r="67" spans="1:7" x14ac:dyDescent="0.3">
      <c r="A67">
        <v>1</v>
      </c>
      <c r="B67">
        <v>6</v>
      </c>
      <c r="C67" s="6" t="s">
        <v>31</v>
      </c>
      <c r="D67" s="7">
        <f>_xlfn.XLOOKUP(tblProductionPlan[[#This Row],[product_name]],ref_product[product_name],ref_product[product_key])</f>
        <v>69</v>
      </c>
      <c r="E67">
        <v>2</v>
      </c>
      <c r="F67" s="8">
        <v>1</v>
      </c>
      <c r="G67" s="3" t="b">
        <v>1</v>
      </c>
    </row>
    <row r="68" spans="1:7" x14ac:dyDescent="0.3">
      <c r="A68">
        <v>1</v>
      </c>
      <c r="B68">
        <v>7</v>
      </c>
      <c r="C68" s="6" t="s">
        <v>31</v>
      </c>
      <c r="D68" s="7">
        <f>_xlfn.XLOOKUP(tblProductionPlan[[#This Row],[product_name]],ref_product[product_name],ref_product[product_key])</f>
        <v>69</v>
      </c>
      <c r="E68">
        <v>2</v>
      </c>
      <c r="F68" s="8">
        <v>0.5</v>
      </c>
      <c r="G68" s="3" t="b">
        <v>1</v>
      </c>
    </row>
    <row r="69" spans="1:7" x14ac:dyDescent="0.3">
      <c r="A69">
        <v>1</v>
      </c>
      <c r="B69">
        <v>7</v>
      </c>
      <c r="C69" t="s">
        <v>20</v>
      </c>
      <c r="D69" s="7">
        <f>_xlfn.XLOOKUP(tblProductionPlan[[#This Row],[product_name]],ref_product[product_name],ref_product[product_key])</f>
        <v>10</v>
      </c>
      <c r="E69">
        <v>2</v>
      </c>
      <c r="F69" s="8">
        <v>0.5</v>
      </c>
      <c r="G69" s="3" t="b">
        <v>1</v>
      </c>
    </row>
    <row r="70" spans="1:7" x14ac:dyDescent="0.3">
      <c r="A70">
        <v>1</v>
      </c>
      <c r="B70">
        <v>8</v>
      </c>
      <c r="C70" t="s">
        <v>33</v>
      </c>
      <c r="D70" s="7">
        <f>_xlfn.XLOOKUP(tblProductionPlan[[#This Row],[product_name]],ref_product[product_name],ref_product[product_key])</f>
        <v>63</v>
      </c>
      <c r="E70">
        <v>2</v>
      </c>
      <c r="F70" s="8">
        <v>0.1</v>
      </c>
      <c r="G70" s="3" t="b">
        <v>1</v>
      </c>
    </row>
    <row r="71" spans="1:7" x14ac:dyDescent="0.3">
      <c r="A71">
        <v>1</v>
      </c>
      <c r="B71">
        <v>8</v>
      </c>
      <c r="C71" t="s">
        <v>21</v>
      </c>
      <c r="D71" s="7">
        <f>_xlfn.XLOOKUP(tblProductionPlan[[#This Row],[product_name]],ref_product[product_name],ref_product[product_key])</f>
        <v>23</v>
      </c>
      <c r="E71">
        <v>2</v>
      </c>
      <c r="F71" s="8">
        <v>0.9</v>
      </c>
      <c r="G71" s="3" t="b">
        <v>1</v>
      </c>
    </row>
    <row r="72" spans="1:7" x14ac:dyDescent="0.3">
      <c r="A72">
        <v>1</v>
      </c>
      <c r="B72">
        <v>9</v>
      </c>
      <c r="C72" t="s">
        <v>22</v>
      </c>
      <c r="D72" s="7">
        <f>_xlfn.XLOOKUP(tblProductionPlan[[#This Row],[product_name]],ref_product[product_name],ref_product[product_key])</f>
        <v>121</v>
      </c>
      <c r="E72">
        <v>2</v>
      </c>
      <c r="F72" s="8">
        <v>0.1</v>
      </c>
      <c r="G72" s="3" t="b">
        <v>1</v>
      </c>
    </row>
    <row r="73" spans="1:7" x14ac:dyDescent="0.3">
      <c r="A73">
        <v>1</v>
      </c>
      <c r="B73">
        <v>9</v>
      </c>
      <c r="C73" t="s">
        <v>21</v>
      </c>
      <c r="D73" s="7">
        <f>_xlfn.XLOOKUP(tblProductionPlan[[#This Row],[product_name]],ref_product[product_name],ref_product[product_key])</f>
        <v>23</v>
      </c>
      <c r="E73">
        <v>2</v>
      </c>
      <c r="F73" s="8">
        <v>0.9</v>
      </c>
      <c r="G73" s="3" t="b">
        <v>1</v>
      </c>
    </row>
    <row r="74" spans="1:7" x14ac:dyDescent="0.3">
      <c r="A74">
        <v>1</v>
      </c>
      <c r="B74">
        <v>10</v>
      </c>
      <c r="C74" t="s">
        <v>23</v>
      </c>
      <c r="D74" s="7">
        <f>_xlfn.XLOOKUP(tblProductionPlan[[#This Row],[product_name]],ref_product[product_name],ref_product[product_key])</f>
        <v>62</v>
      </c>
      <c r="E74">
        <v>2</v>
      </c>
      <c r="F74" s="8">
        <v>1</v>
      </c>
      <c r="G74" s="3" t="b">
        <v>1</v>
      </c>
    </row>
    <row r="75" spans="1:7" x14ac:dyDescent="0.3">
      <c r="A75">
        <v>1</v>
      </c>
      <c r="B75">
        <v>11</v>
      </c>
      <c r="C75" t="s">
        <v>24</v>
      </c>
      <c r="D75" s="7">
        <f>_xlfn.XLOOKUP(tblProductionPlan[[#This Row],[product_name]],ref_product[product_name],ref_product[product_key])</f>
        <v>88</v>
      </c>
      <c r="E75">
        <v>2</v>
      </c>
      <c r="F75" s="8">
        <v>1</v>
      </c>
      <c r="G75" s="3" t="b">
        <v>1</v>
      </c>
    </row>
    <row r="76" spans="1:7" x14ac:dyDescent="0.3">
      <c r="A76">
        <v>1</v>
      </c>
      <c r="B76">
        <v>12</v>
      </c>
      <c r="C76" t="s">
        <v>24</v>
      </c>
      <c r="D76" s="7">
        <f>_xlfn.XLOOKUP(tblProductionPlan[[#This Row],[product_name]],ref_product[product_name],ref_product[product_key])</f>
        <v>88</v>
      </c>
      <c r="E76">
        <v>2</v>
      </c>
      <c r="F76" s="8">
        <v>1</v>
      </c>
      <c r="G76" s="3" t="b">
        <v>1</v>
      </c>
    </row>
    <row r="77" spans="1:7" x14ac:dyDescent="0.3">
      <c r="A77">
        <v>2</v>
      </c>
      <c r="B77">
        <v>1</v>
      </c>
      <c r="C77" t="s">
        <v>18</v>
      </c>
      <c r="D77" s="7">
        <f>_xlfn.XLOOKUP(tblProductionPlan[[#This Row],[product_name]],ref_product[product_name],ref_product[product_key])</f>
        <v>102</v>
      </c>
      <c r="E77">
        <v>0</v>
      </c>
      <c r="F77" s="8">
        <v>1</v>
      </c>
      <c r="G77" s="3" t="b">
        <v>1</v>
      </c>
    </row>
    <row r="78" spans="1:7" x14ac:dyDescent="0.3">
      <c r="A78">
        <v>2</v>
      </c>
      <c r="B78">
        <v>2</v>
      </c>
      <c r="C78" t="s">
        <v>19</v>
      </c>
      <c r="D78" s="7">
        <f>_xlfn.XLOOKUP(tblProductionPlan[[#This Row],[product_name]],ref_product[product_name],ref_product[product_key])</f>
        <v>145</v>
      </c>
      <c r="E78">
        <v>0</v>
      </c>
      <c r="F78" s="8">
        <v>1</v>
      </c>
      <c r="G78" s="3" t="b">
        <v>1</v>
      </c>
    </row>
    <row r="79" spans="1:7" x14ac:dyDescent="0.3">
      <c r="A79">
        <v>2</v>
      </c>
      <c r="B79">
        <v>3</v>
      </c>
      <c r="C79" t="s">
        <v>25</v>
      </c>
      <c r="D79" s="7">
        <f>_xlfn.XLOOKUP(tblProductionPlan[[#This Row],[product_name]],ref_product[product_name],ref_product[product_key])</f>
        <v>120</v>
      </c>
      <c r="E79">
        <v>0</v>
      </c>
      <c r="F79" s="8">
        <v>0.1</v>
      </c>
      <c r="G79" s="3" t="b">
        <v>1</v>
      </c>
    </row>
    <row r="80" spans="1:7" x14ac:dyDescent="0.3">
      <c r="A80">
        <v>2</v>
      </c>
      <c r="B80">
        <v>3</v>
      </c>
      <c r="C80" t="s">
        <v>27</v>
      </c>
      <c r="D80" s="7">
        <f>_xlfn.XLOOKUP(tblProductionPlan[[#This Row],[product_name]],ref_product[product_name],ref_product[product_key])</f>
        <v>135</v>
      </c>
      <c r="E80">
        <v>0</v>
      </c>
      <c r="F80" s="8">
        <v>0.1</v>
      </c>
      <c r="G80" s="3" t="b">
        <v>1</v>
      </c>
    </row>
    <row r="81" spans="1:10" x14ac:dyDescent="0.3">
      <c r="A81">
        <v>2</v>
      </c>
      <c r="B81">
        <v>3</v>
      </c>
      <c r="C81" t="s">
        <v>28</v>
      </c>
      <c r="D81" s="7">
        <f>_xlfn.XLOOKUP(tblProductionPlan[[#This Row],[product_name]],ref_product[product_name],ref_product[product_key])</f>
        <v>94</v>
      </c>
      <c r="E81">
        <v>0</v>
      </c>
      <c r="F81" s="8">
        <v>0.8</v>
      </c>
      <c r="G81" s="3" t="b">
        <v>1</v>
      </c>
    </row>
    <row r="82" spans="1:10" x14ac:dyDescent="0.3">
      <c r="A82">
        <v>2</v>
      </c>
      <c r="B82">
        <v>4</v>
      </c>
      <c r="C82" t="s">
        <v>26</v>
      </c>
      <c r="D82" s="7">
        <f>_xlfn.XLOOKUP(tblProductionPlan[[#This Row],[product_name]],ref_product[product_name],ref_product[product_key])</f>
        <v>134</v>
      </c>
      <c r="E82">
        <v>0</v>
      </c>
      <c r="F82" s="8">
        <v>1</v>
      </c>
      <c r="G82" s="3" t="b">
        <v>1</v>
      </c>
    </row>
    <row r="83" spans="1:10" x14ac:dyDescent="0.3">
      <c r="A83">
        <v>2</v>
      </c>
      <c r="B83">
        <v>5</v>
      </c>
      <c r="C83" t="s">
        <v>29</v>
      </c>
      <c r="D83" s="7">
        <f>_xlfn.XLOOKUP(tblProductionPlan[[#This Row],[product_name]],ref_product[product_name],ref_product[product_key])</f>
        <v>93</v>
      </c>
      <c r="E83">
        <v>0</v>
      </c>
      <c r="F83" s="8">
        <v>1</v>
      </c>
      <c r="G83" s="3" t="b">
        <v>1</v>
      </c>
    </row>
    <row r="94" spans="1:10" x14ac:dyDescent="0.3">
      <c r="A94" s="2" t="s">
        <v>53</v>
      </c>
      <c r="B94" s="1"/>
      <c r="C94" s="1"/>
    </row>
    <row r="95" spans="1:10" x14ac:dyDescent="0.3">
      <c r="A95" s="6" t="s">
        <v>59</v>
      </c>
      <c r="B95" t="s">
        <v>128</v>
      </c>
      <c r="C95" t="s">
        <v>35</v>
      </c>
      <c r="D95" t="s">
        <v>36</v>
      </c>
      <c r="E95" t="s">
        <v>72</v>
      </c>
      <c r="F95" t="s">
        <v>266</v>
      </c>
      <c r="G95" t="s">
        <v>70</v>
      </c>
      <c r="H95" t="s">
        <v>274</v>
      </c>
      <c r="I95" t="s">
        <v>277</v>
      </c>
      <c r="J95" t="s">
        <v>276</v>
      </c>
    </row>
    <row r="96" spans="1:10" x14ac:dyDescent="0.3">
      <c r="A96">
        <v>1</v>
      </c>
      <c r="B96" t="s">
        <v>18</v>
      </c>
      <c r="C96" s="7">
        <f>_xlfn.XLOOKUP(tblClearingPlan[[#This Row],[product_name]],ref_product[product_name],ref_product[product_key])</f>
        <v>102</v>
      </c>
      <c r="D96">
        <v>2</v>
      </c>
      <c r="E96">
        <v>1</v>
      </c>
      <c r="F96" t="s">
        <v>30</v>
      </c>
      <c r="G96" s="7">
        <f>_xlfn.XLOOKUP(tblClearingPlan[[#This Row],[channel_name]],ref_channel[channel_name],ref_channel[channel_key])</f>
        <v>2</v>
      </c>
      <c r="H96">
        <v>500000</v>
      </c>
      <c r="I96" s="7">
        <f>tblClearingPlan[[#This Row],[allocation_units_per_day]]/24</f>
        <v>20833.333333333332</v>
      </c>
    </row>
    <row r="97" spans="1:10" x14ac:dyDescent="0.3">
      <c r="A97">
        <v>1</v>
      </c>
      <c r="B97" t="s">
        <v>18</v>
      </c>
      <c r="C97" s="7">
        <f>_xlfn.XLOOKUP(tblClearingPlan[[#This Row],[product_name]],ref_product[product_name],ref_product[product_key])</f>
        <v>102</v>
      </c>
      <c r="D97">
        <v>2</v>
      </c>
      <c r="E97">
        <v>2</v>
      </c>
      <c r="F97" t="s">
        <v>54</v>
      </c>
      <c r="G97" s="7">
        <f>_xlfn.XLOOKUP(tblClearingPlan[[#This Row],[channel_name]],ref_channel[channel_name],ref_channel[channel_key])</f>
        <v>1</v>
      </c>
      <c r="I97" s="7">
        <f>tblClearingPlan[[#This Row],[allocation_units_per_day]]/24</f>
        <v>0</v>
      </c>
      <c r="J97">
        <v>1</v>
      </c>
    </row>
    <row r="98" spans="1:10" x14ac:dyDescent="0.3">
      <c r="A98">
        <v>1</v>
      </c>
      <c r="B98" t="s">
        <v>19</v>
      </c>
      <c r="C98" s="7">
        <f>_xlfn.XLOOKUP(tblClearingPlan[[#This Row],[product_name]],ref_product[product_name],ref_product[product_key])</f>
        <v>145</v>
      </c>
      <c r="D98">
        <v>2</v>
      </c>
      <c r="E98">
        <v>1</v>
      </c>
      <c r="F98" t="s">
        <v>30</v>
      </c>
      <c r="G98" s="7">
        <f>_xlfn.XLOOKUP(tblClearingPlan[[#This Row],[channel_name]],ref_channel[channel_name],ref_channel[channel_key])</f>
        <v>2</v>
      </c>
      <c r="I98" s="7">
        <f>tblClearingPlan[[#This Row],[allocation_units_per_day]]/24</f>
        <v>0</v>
      </c>
      <c r="J98">
        <v>1</v>
      </c>
    </row>
    <row r="99" spans="1:10" x14ac:dyDescent="0.3">
      <c r="A99">
        <v>1</v>
      </c>
      <c r="B99" t="s">
        <v>34</v>
      </c>
      <c r="C99" s="7">
        <f>_xlfn.XLOOKUP(tblClearingPlan[[#This Row],[product_name]],ref_product[product_name],ref_product[product_key])</f>
        <v>116</v>
      </c>
      <c r="D99">
        <v>2</v>
      </c>
      <c r="E99">
        <v>1</v>
      </c>
      <c r="F99" t="s">
        <v>30</v>
      </c>
      <c r="G99" s="7">
        <f>_xlfn.XLOOKUP(tblClearingPlan[[#This Row],[channel_name]],ref_channel[channel_name],ref_channel[channel_key])</f>
        <v>2</v>
      </c>
      <c r="I99" s="7">
        <f>tblClearingPlan[[#This Row],[allocation_units_per_day]]/24</f>
        <v>0</v>
      </c>
      <c r="J99">
        <v>1</v>
      </c>
    </row>
    <row r="100" spans="1:10" x14ac:dyDescent="0.3">
      <c r="A100">
        <v>1</v>
      </c>
      <c r="B100" t="s">
        <v>22</v>
      </c>
      <c r="C100" s="7">
        <f>_xlfn.XLOOKUP(tblClearingPlan[[#This Row],[product_name]],ref_product[product_name],ref_product[product_key])</f>
        <v>121</v>
      </c>
      <c r="D100">
        <v>2</v>
      </c>
      <c r="E100">
        <v>1</v>
      </c>
      <c r="F100" t="s">
        <v>30</v>
      </c>
      <c r="G100" s="7">
        <f>_xlfn.XLOOKUP(tblClearingPlan[[#This Row],[channel_name]],ref_channel[channel_name],ref_channel[channel_key])</f>
        <v>2</v>
      </c>
      <c r="I100" s="7">
        <f>tblClearingPlan[[#This Row],[allocation_units_per_day]]/24</f>
        <v>0</v>
      </c>
      <c r="J100">
        <v>1</v>
      </c>
    </row>
    <row r="101" spans="1:10" x14ac:dyDescent="0.3">
      <c r="A101">
        <v>1</v>
      </c>
      <c r="B101" t="s">
        <v>24</v>
      </c>
      <c r="C101" s="7">
        <f>_xlfn.XLOOKUP(tblClearingPlan[[#This Row],[product_name]],ref_product[product_name],ref_product[product_key])</f>
        <v>88</v>
      </c>
      <c r="D101">
        <v>2</v>
      </c>
      <c r="E101">
        <v>1</v>
      </c>
      <c r="F101" t="s">
        <v>30</v>
      </c>
      <c r="G101" s="7">
        <f>_xlfn.XLOOKUP(tblClearingPlan[[#This Row],[channel_name]],ref_channel[channel_name],ref_channel[channel_key])</f>
        <v>2</v>
      </c>
      <c r="I101" s="7">
        <f>tblClearingPlan[[#This Row],[allocation_units_per_day]]/24</f>
        <v>0</v>
      </c>
      <c r="J101">
        <v>1</v>
      </c>
    </row>
    <row r="102" spans="1:10" x14ac:dyDescent="0.3">
      <c r="A102">
        <v>1</v>
      </c>
      <c r="B102" t="s">
        <v>21</v>
      </c>
      <c r="C102" s="7">
        <f>_xlfn.XLOOKUP(tblClearingPlan[[#This Row],[product_name]],ref_product[product_name],ref_product[product_key])</f>
        <v>23</v>
      </c>
      <c r="D102">
        <v>2</v>
      </c>
      <c r="E102">
        <v>1</v>
      </c>
      <c r="F102" t="s">
        <v>30</v>
      </c>
      <c r="G102" s="7">
        <f>_xlfn.XLOOKUP(tblClearingPlan[[#This Row],[channel_name]],ref_channel[channel_name],ref_channel[channel_key])</f>
        <v>2</v>
      </c>
      <c r="I102" s="7">
        <f>tblClearingPlan[[#This Row],[allocation_units_per_day]]/24</f>
        <v>0</v>
      </c>
      <c r="J102">
        <v>1</v>
      </c>
    </row>
    <row r="103" spans="1:10" x14ac:dyDescent="0.3">
      <c r="A103">
        <v>1</v>
      </c>
      <c r="B103" t="s">
        <v>23</v>
      </c>
      <c r="C103" s="7">
        <f>_xlfn.XLOOKUP(tblClearingPlan[[#This Row],[product_name]],ref_product[product_name],ref_product[product_key])</f>
        <v>62</v>
      </c>
      <c r="D103">
        <v>2</v>
      </c>
      <c r="E103">
        <v>1</v>
      </c>
      <c r="F103" t="s">
        <v>30</v>
      </c>
      <c r="G103" s="7">
        <f>_xlfn.XLOOKUP(tblClearingPlan[[#This Row],[channel_name]],ref_channel[channel_name],ref_channel[channel_key])</f>
        <v>2</v>
      </c>
      <c r="I103" s="7">
        <f>tblClearingPlan[[#This Row],[allocation_units_per_day]]/24</f>
        <v>0</v>
      </c>
      <c r="J103">
        <v>1</v>
      </c>
    </row>
    <row r="104" spans="1:10" x14ac:dyDescent="0.3">
      <c r="A104">
        <v>1</v>
      </c>
      <c r="B104" t="s">
        <v>33</v>
      </c>
      <c r="C104" s="7">
        <f>_xlfn.XLOOKUP(tblClearingPlan[[#This Row],[product_name]],ref_product[product_name],ref_product[product_key])</f>
        <v>63</v>
      </c>
      <c r="D104">
        <v>2</v>
      </c>
      <c r="E104">
        <v>1</v>
      </c>
      <c r="F104" t="s">
        <v>30</v>
      </c>
      <c r="G104" s="7">
        <f>_xlfn.XLOOKUP(tblClearingPlan[[#This Row],[channel_name]],ref_channel[channel_name],ref_channel[channel_key])</f>
        <v>2</v>
      </c>
      <c r="I104" s="7">
        <f>tblClearingPlan[[#This Row],[allocation_units_per_day]]/24</f>
        <v>0</v>
      </c>
      <c r="J104">
        <v>1</v>
      </c>
    </row>
    <row r="105" spans="1:10" x14ac:dyDescent="0.3">
      <c r="A105">
        <v>1</v>
      </c>
      <c r="B105" t="s">
        <v>20</v>
      </c>
      <c r="C105" s="7">
        <f>_xlfn.XLOOKUP(tblClearingPlan[[#This Row],[product_name]],ref_product[product_name],ref_product[product_key])</f>
        <v>10</v>
      </c>
      <c r="D105">
        <v>2</v>
      </c>
      <c r="E105">
        <v>1</v>
      </c>
      <c r="F105" t="s">
        <v>30</v>
      </c>
      <c r="G105" s="7">
        <f>_xlfn.XLOOKUP(tblClearingPlan[[#This Row],[channel_name]],ref_channel[channel_name],ref_channel[channel_key])</f>
        <v>2</v>
      </c>
      <c r="I105" s="7">
        <f>tblClearingPlan[[#This Row],[allocation_units_per_day]]/24</f>
        <v>0</v>
      </c>
      <c r="J105">
        <v>1</v>
      </c>
    </row>
    <row r="106" spans="1:10" x14ac:dyDescent="0.3">
      <c r="A106">
        <v>1</v>
      </c>
      <c r="B106" t="s">
        <v>31</v>
      </c>
      <c r="C106" s="7">
        <f>_xlfn.XLOOKUP(tblClearingPlan[[#This Row],[product_name]],ref_product[product_name],ref_product[product_key])</f>
        <v>69</v>
      </c>
      <c r="D106">
        <v>2</v>
      </c>
      <c r="E106">
        <v>1</v>
      </c>
      <c r="F106" t="s">
        <v>30</v>
      </c>
      <c r="G106" s="7">
        <f>_xlfn.XLOOKUP(tblClearingPlan[[#This Row],[channel_name]],ref_channel[channel_name],ref_channel[channel_key])</f>
        <v>2</v>
      </c>
      <c r="I106" s="7">
        <f>tblClearingPlan[[#This Row],[allocation_units_per_day]]/24</f>
        <v>0</v>
      </c>
      <c r="J106">
        <v>1</v>
      </c>
    </row>
    <row r="107" spans="1:10" x14ac:dyDescent="0.3">
      <c r="A107">
        <v>2</v>
      </c>
      <c r="B107" t="s">
        <v>18</v>
      </c>
      <c r="C107" s="7">
        <f>_xlfn.XLOOKUP(tblClearingPlan[[#This Row],[product_name]],ref_product[product_name],ref_product[product_key])</f>
        <v>102</v>
      </c>
      <c r="D107">
        <v>0</v>
      </c>
      <c r="E107">
        <v>1</v>
      </c>
      <c r="F107" t="s">
        <v>30</v>
      </c>
      <c r="G107" s="7">
        <f>_xlfn.XLOOKUP(tblClearingPlan[[#This Row],[channel_name]],ref_channel[channel_name],ref_channel[channel_key])</f>
        <v>2</v>
      </c>
      <c r="I107" s="7">
        <f>tblClearingPlan[[#This Row],[allocation_units_per_day]]/24</f>
        <v>0</v>
      </c>
      <c r="J107">
        <v>1</v>
      </c>
    </row>
    <row r="108" spans="1:10" x14ac:dyDescent="0.3">
      <c r="A108">
        <v>2</v>
      </c>
      <c r="B108" t="s">
        <v>19</v>
      </c>
      <c r="C108" s="7">
        <f>_xlfn.XLOOKUP(tblClearingPlan[[#This Row],[product_name]],ref_product[product_name],ref_product[product_key])</f>
        <v>145</v>
      </c>
      <c r="D108">
        <v>0</v>
      </c>
      <c r="E108">
        <v>1</v>
      </c>
      <c r="F108" t="s">
        <v>30</v>
      </c>
      <c r="G108" s="7">
        <f>_xlfn.XLOOKUP(tblClearingPlan[[#This Row],[channel_name]],ref_channel[channel_name],ref_channel[channel_key])</f>
        <v>2</v>
      </c>
      <c r="I108" s="7">
        <f>tblClearingPlan[[#This Row],[allocation_units_per_day]]/24</f>
        <v>0</v>
      </c>
      <c r="J108">
        <v>1</v>
      </c>
    </row>
    <row r="109" spans="1:10" x14ac:dyDescent="0.3">
      <c r="A109">
        <v>2</v>
      </c>
      <c r="B109" t="s">
        <v>25</v>
      </c>
      <c r="C109" s="7">
        <f>_xlfn.XLOOKUP(tblClearingPlan[[#This Row],[product_name]],ref_product[product_name],ref_product[product_key])</f>
        <v>120</v>
      </c>
      <c r="D109">
        <v>0</v>
      </c>
      <c r="E109">
        <v>1</v>
      </c>
      <c r="F109" t="s">
        <v>30</v>
      </c>
      <c r="G109" s="7">
        <f>_xlfn.XLOOKUP(tblClearingPlan[[#This Row],[channel_name]],ref_channel[channel_name],ref_channel[channel_key])</f>
        <v>2</v>
      </c>
      <c r="I109" s="7">
        <f>tblClearingPlan[[#This Row],[allocation_units_per_day]]/24</f>
        <v>0</v>
      </c>
      <c r="J109">
        <v>1</v>
      </c>
    </row>
    <row r="110" spans="1:10" x14ac:dyDescent="0.3">
      <c r="A110">
        <v>2</v>
      </c>
      <c r="B110" t="s">
        <v>27</v>
      </c>
      <c r="C110" s="7">
        <f>_xlfn.XLOOKUP(tblClearingPlan[[#This Row],[product_name]],ref_product[product_name],ref_product[product_key])</f>
        <v>135</v>
      </c>
      <c r="D110">
        <v>0</v>
      </c>
      <c r="E110">
        <v>1</v>
      </c>
      <c r="F110" t="s">
        <v>30</v>
      </c>
      <c r="G110" s="7">
        <f>_xlfn.XLOOKUP(tblClearingPlan[[#This Row],[channel_name]],ref_channel[channel_name],ref_channel[channel_key])</f>
        <v>2</v>
      </c>
      <c r="I110" s="7">
        <f>tblClearingPlan[[#This Row],[allocation_units_per_day]]/24</f>
        <v>0</v>
      </c>
      <c r="J110">
        <v>1</v>
      </c>
    </row>
    <row r="111" spans="1:10" x14ac:dyDescent="0.3">
      <c r="A111">
        <v>2</v>
      </c>
      <c r="B111" t="s">
        <v>28</v>
      </c>
      <c r="C111" s="7">
        <f>_xlfn.XLOOKUP(tblClearingPlan[[#This Row],[product_name]],ref_product[product_name],ref_product[product_key])</f>
        <v>94</v>
      </c>
      <c r="D111">
        <v>0</v>
      </c>
      <c r="E111">
        <v>1</v>
      </c>
      <c r="F111" t="s">
        <v>30</v>
      </c>
      <c r="G111" s="7">
        <f>_xlfn.XLOOKUP(tblClearingPlan[[#This Row],[channel_name]],ref_channel[channel_name],ref_channel[channel_key])</f>
        <v>2</v>
      </c>
      <c r="I111" s="7">
        <f>tblClearingPlan[[#This Row],[allocation_units_per_day]]/24</f>
        <v>0</v>
      </c>
      <c r="J111">
        <v>1</v>
      </c>
    </row>
    <row r="112" spans="1:10" x14ac:dyDescent="0.3">
      <c r="A112">
        <v>2</v>
      </c>
      <c r="B112" t="s">
        <v>26</v>
      </c>
      <c r="C112" s="7">
        <f>_xlfn.XLOOKUP(tblClearingPlan[[#This Row],[product_name]],ref_product[product_name],ref_product[product_key])</f>
        <v>134</v>
      </c>
      <c r="D112">
        <v>0</v>
      </c>
      <c r="E112">
        <v>1</v>
      </c>
      <c r="F112" t="s">
        <v>30</v>
      </c>
      <c r="G112" s="7">
        <f>_xlfn.XLOOKUP(tblClearingPlan[[#This Row],[channel_name]],ref_channel[channel_name],ref_channel[channel_key])</f>
        <v>2</v>
      </c>
      <c r="I112" s="7">
        <f>tblClearingPlan[[#This Row],[allocation_units_per_day]]/24</f>
        <v>0</v>
      </c>
      <c r="J112">
        <v>1</v>
      </c>
    </row>
    <row r="113" spans="1:10" x14ac:dyDescent="0.3">
      <c r="A113">
        <v>2</v>
      </c>
      <c r="B113" t="s">
        <v>29</v>
      </c>
      <c r="C113" s="7">
        <f>_xlfn.XLOOKUP(tblClearingPlan[[#This Row],[product_name]],ref_product[product_name],ref_product[product_key])</f>
        <v>93</v>
      </c>
      <c r="D113">
        <v>0</v>
      </c>
      <c r="E113">
        <v>1</v>
      </c>
      <c r="F113" t="s">
        <v>32</v>
      </c>
      <c r="G113" s="7">
        <f>_xlfn.XLOOKUP(tblClearingPlan[[#This Row],[channel_name]],ref_channel[channel_name],ref_channel[channel_key])</f>
        <v>3</v>
      </c>
      <c r="I113" s="7">
        <f>tblClearingPlan[[#This Row],[allocation_units_per_day]]/24</f>
        <v>0</v>
      </c>
      <c r="J113">
        <v>1</v>
      </c>
    </row>
    <row r="114" spans="1:10" x14ac:dyDescent="0.3">
      <c r="A114">
        <v>2</v>
      </c>
      <c r="B114" t="s">
        <v>29</v>
      </c>
      <c r="C114" s="7">
        <f>_xlfn.XLOOKUP(tblClearingPlan[[#This Row],[product_name]],ref_product[product_name],ref_product[product_key])</f>
        <v>93</v>
      </c>
      <c r="D114">
        <v>0</v>
      </c>
      <c r="E114">
        <v>2</v>
      </c>
      <c r="F114" t="s">
        <v>30</v>
      </c>
      <c r="G114" s="7">
        <f>_xlfn.XLOOKUP(tblClearingPlan[[#This Row],[channel_name]],ref_channel[channel_name],ref_channel[channel_key])</f>
        <v>2</v>
      </c>
      <c r="I114" s="7">
        <f>tblClearingPlan[[#This Row],[allocation_units_per_day]]/24</f>
        <v>0</v>
      </c>
      <c r="J114">
        <v>1</v>
      </c>
    </row>
    <row r="126" spans="1:10" x14ac:dyDescent="0.3">
      <c r="A126" s="2" t="s">
        <v>288</v>
      </c>
      <c r="B126" s="1"/>
      <c r="C126" s="1"/>
    </row>
    <row r="127" spans="1:10" x14ac:dyDescent="0.3">
      <c r="A127" t="s">
        <v>59</v>
      </c>
      <c r="B127" t="s">
        <v>128</v>
      </c>
      <c r="C127" t="s">
        <v>35</v>
      </c>
      <c r="D127" t="s">
        <v>36</v>
      </c>
      <c r="E127" t="s">
        <v>82</v>
      </c>
      <c r="F127" t="s">
        <v>81</v>
      </c>
      <c r="G127" t="s">
        <v>72</v>
      </c>
    </row>
    <row r="128" spans="1:10" x14ac:dyDescent="0.3">
      <c r="A128">
        <v>2</v>
      </c>
      <c r="B128" t="s">
        <v>29</v>
      </c>
      <c r="C128" s="7">
        <f>_xlfn.XLOOKUP(tblRetailPlan[[#This Row],[product_name]],ref_product[product_name],ref_product[product_key])</f>
        <v>93</v>
      </c>
      <c r="D128">
        <v>0</v>
      </c>
      <c r="E128" t="s">
        <v>17</v>
      </c>
      <c r="F128" s="7">
        <f>_xlfn.XLOOKUP(tblRetailPlan[[#This Row],[building_name]],ref_building[building_name],ref_building[building_key])</f>
        <v>28</v>
      </c>
      <c r="G128">
        <v>1</v>
      </c>
    </row>
    <row r="135" spans="1:3" x14ac:dyDescent="0.3">
      <c r="A135" s="2"/>
      <c r="B135" s="1"/>
      <c r="C135" s="1"/>
    </row>
    <row r="168" spans="1:6" x14ac:dyDescent="0.3">
      <c r="A168" s="2" t="s">
        <v>3</v>
      </c>
      <c r="B168" s="1"/>
      <c r="C168" s="1"/>
    </row>
    <row r="169" spans="1:6" x14ac:dyDescent="0.3">
      <c r="A169" s="6" t="s">
        <v>265</v>
      </c>
      <c r="B169" s="6" t="s">
        <v>264</v>
      </c>
      <c r="C169" t="s">
        <v>128</v>
      </c>
      <c r="D169" t="s">
        <v>35</v>
      </c>
      <c r="E169" t="s">
        <v>36</v>
      </c>
      <c r="F169" t="s">
        <v>275</v>
      </c>
    </row>
    <row r="170" spans="1:6" x14ac:dyDescent="0.3">
      <c r="A170" t="s">
        <v>6</v>
      </c>
      <c r="B170" s="7">
        <f>_xlfn.XLOOKUP(tblOverrideExchangePrices[[#This Row],[realm_name]],ref_realm[realm_name],ref_realm[realm_key])</f>
        <v>1</v>
      </c>
      <c r="C170" t="s">
        <v>18</v>
      </c>
      <c r="D170" s="7">
        <f>_xlfn.XLOOKUP(tblOverrideExchangePrices[[#This Row],[product_name]],ref_product[product_name],ref_product[product_key])</f>
        <v>102</v>
      </c>
      <c r="E170">
        <v>2</v>
      </c>
      <c r="F170" s="5">
        <v>0.26</v>
      </c>
    </row>
    <row r="171" spans="1:6" x14ac:dyDescent="0.3">
      <c r="A171" t="s">
        <v>6</v>
      </c>
      <c r="B171" s="7">
        <f>_xlfn.XLOOKUP(tblOverrideExchangePrices[[#This Row],[realm_name]],ref_realm[realm_name],ref_realm[realm_key])</f>
        <v>1</v>
      </c>
      <c r="C171" t="s">
        <v>19</v>
      </c>
      <c r="D171" s="7">
        <f>_xlfn.XLOOKUP(tblOverrideExchangePrices[[#This Row],[product_name]],ref_product[product_name],ref_product[product_key])</f>
        <v>145</v>
      </c>
      <c r="E171">
        <v>2</v>
      </c>
      <c r="F171" s="5">
        <v>0.38</v>
      </c>
    </row>
    <row r="172" spans="1:6" x14ac:dyDescent="0.3">
      <c r="A172" t="s">
        <v>6</v>
      </c>
      <c r="B172" s="7">
        <f>_xlfn.XLOOKUP(tblOverrideExchangePrices[[#This Row],[realm_name]],ref_realm[realm_name],ref_realm[realm_key])</f>
        <v>1</v>
      </c>
      <c r="C172" t="s">
        <v>23</v>
      </c>
      <c r="D172" s="7">
        <f>_xlfn.XLOOKUP(tblOverrideExchangePrices[[#This Row],[product_name]],ref_product[product_name],ref_product[product_key])</f>
        <v>62</v>
      </c>
      <c r="E172">
        <v>2</v>
      </c>
      <c r="F172" s="5">
        <v>31.25</v>
      </c>
    </row>
    <row r="173" spans="1:6" x14ac:dyDescent="0.3">
      <c r="A173" t="s">
        <v>6</v>
      </c>
      <c r="B173" s="7">
        <f>_xlfn.XLOOKUP(tblOverrideExchangePrices[[#This Row],[realm_name]],ref_realm[realm_name],ref_realm[realm_key])</f>
        <v>1</v>
      </c>
      <c r="C173" t="s">
        <v>33</v>
      </c>
      <c r="D173" s="7">
        <f>_xlfn.XLOOKUP(tblOverrideExchangePrices[[#This Row],[product_name]],ref_product[product_name],ref_product[product_key])</f>
        <v>63</v>
      </c>
      <c r="E173">
        <v>2</v>
      </c>
      <c r="F173" s="5">
        <v>6500</v>
      </c>
    </row>
    <row r="174" spans="1:6" x14ac:dyDescent="0.3">
      <c r="A174" t="s">
        <v>6</v>
      </c>
      <c r="B174" s="7">
        <f>_xlfn.XLOOKUP(tblOverrideExchangePrices[[#This Row],[realm_name]],ref_realm[realm_name],ref_realm[realm_key])</f>
        <v>1</v>
      </c>
      <c r="C174" t="s">
        <v>24</v>
      </c>
      <c r="D174" s="7">
        <f>_xlfn.XLOOKUP(tblOverrideExchangePrices[[#This Row],[product_name]],ref_product[product_name],ref_product[product_key])</f>
        <v>88</v>
      </c>
      <c r="E174">
        <v>2</v>
      </c>
      <c r="F174" s="5">
        <v>11</v>
      </c>
    </row>
    <row r="175" spans="1:6" x14ac:dyDescent="0.3">
      <c r="A175" t="s">
        <v>6</v>
      </c>
      <c r="B175" s="7">
        <f>_xlfn.XLOOKUP(tblOverrideExchangePrices[[#This Row],[realm_name]],ref_realm[realm_name],ref_realm[realm_key])</f>
        <v>1</v>
      </c>
      <c r="C175" t="s">
        <v>21</v>
      </c>
      <c r="D175" s="7">
        <f>_xlfn.XLOOKUP(tblOverrideExchangePrices[[#This Row],[product_name]],ref_product[product_name],ref_product[product_key])</f>
        <v>23</v>
      </c>
      <c r="E175">
        <v>2</v>
      </c>
      <c r="F175" s="5">
        <v>14.5</v>
      </c>
    </row>
    <row r="176" spans="1:6" x14ac:dyDescent="0.3">
      <c r="A176" t="s">
        <v>6</v>
      </c>
      <c r="B176" s="7">
        <f>_xlfn.XLOOKUP(tblOverrideExchangePrices[[#This Row],[realm_name]],ref_realm[realm_name],ref_realm[realm_key])</f>
        <v>1</v>
      </c>
      <c r="C176" t="s">
        <v>34</v>
      </c>
      <c r="D176" s="7">
        <f>_xlfn.XLOOKUP(tblOverrideExchangePrices[[#This Row],[product_name]],ref_product[product_name],ref_product[product_key])</f>
        <v>116</v>
      </c>
      <c r="E176">
        <v>2</v>
      </c>
      <c r="F176" s="5">
        <v>1.33</v>
      </c>
    </row>
    <row r="177" spans="1:6" x14ac:dyDescent="0.3">
      <c r="A177" t="s">
        <v>6</v>
      </c>
      <c r="B177" s="7">
        <f>_xlfn.XLOOKUP(tblOverrideExchangePrices[[#This Row],[realm_name]],ref_realm[realm_name],ref_realm[realm_key])</f>
        <v>1</v>
      </c>
      <c r="C177" t="s">
        <v>22</v>
      </c>
      <c r="D177" s="7">
        <f>_xlfn.XLOOKUP(tblOverrideExchangePrices[[#This Row],[product_name]],ref_product[product_name],ref_product[product_key])</f>
        <v>121</v>
      </c>
      <c r="E177">
        <v>2</v>
      </c>
      <c r="F177" s="5">
        <v>8.4</v>
      </c>
    </row>
    <row r="178" spans="1:6" x14ac:dyDescent="0.3">
      <c r="A178" t="s">
        <v>6</v>
      </c>
      <c r="B178" s="7">
        <f>_xlfn.XLOOKUP(tblOverrideExchangePrices[[#This Row],[realm_name]],ref_realm[realm_name],ref_realm[realm_key])</f>
        <v>1</v>
      </c>
      <c r="C178" t="s">
        <v>20</v>
      </c>
      <c r="D178" s="7">
        <f>_xlfn.XLOOKUP(tblOverrideExchangePrices[[#This Row],[product_name]],ref_product[product_name],ref_product[product_key])</f>
        <v>10</v>
      </c>
      <c r="E178">
        <v>2</v>
      </c>
      <c r="F178" s="5">
        <v>87.5</v>
      </c>
    </row>
    <row r="179" spans="1:6" x14ac:dyDescent="0.3">
      <c r="A179" t="s">
        <v>6</v>
      </c>
      <c r="B179" s="7">
        <f>_xlfn.XLOOKUP(tblOverrideExchangePrices[[#This Row],[realm_name]],ref_realm[realm_name],ref_realm[realm_key])</f>
        <v>1</v>
      </c>
      <c r="C179" t="s">
        <v>31</v>
      </c>
      <c r="D179" s="7">
        <f>_xlfn.XLOOKUP(tblOverrideExchangePrices[[#This Row],[product_name]],ref_product[product_name],ref_product[product_key])</f>
        <v>69</v>
      </c>
      <c r="E179">
        <v>2</v>
      </c>
      <c r="F179" s="5">
        <v>895</v>
      </c>
    </row>
    <row r="180" spans="1:6" x14ac:dyDescent="0.3">
      <c r="A180" t="s">
        <v>7</v>
      </c>
      <c r="B180" s="7">
        <f>_xlfn.XLOOKUP(tblOverrideExchangePrices[[#This Row],[realm_name]],ref_realm[realm_name],ref_realm[realm_key])</f>
        <v>2</v>
      </c>
      <c r="C180" t="s">
        <v>18</v>
      </c>
      <c r="D180" s="7">
        <f>_xlfn.XLOOKUP(tblOverrideExchangePrices[[#This Row],[product_name]],ref_product[product_name],ref_product[product_key])</f>
        <v>102</v>
      </c>
      <c r="E180">
        <v>0</v>
      </c>
      <c r="F180" s="5">
        <v>0.24</v>
      </c>
    </row>
    <row r="181" spans="1:6" x14ac:dyDescent="0.3">
      <c r="A181" t="s">
        <v>7</v>
      </c>
      <c r="B181" s="7">
        <f>_xlfn.XLOOKUP(tblOverrideExchangePrices[[#This Row],[realm_name]],ref_realm[realm_name],ref_realm[realm_key])</f>
        <v>2</v>
      </c>
      <c r="C181" t="s">
        <v>19</v>
      </c>
      <c r="D181" s="7">
        <f>_xlfn.XLOOKUP(tblOverrideExchangePrices[[#This Row],[product_name]],ref_product[product_name],ref_product[product_key])</f>
        <v>145</v>
      </c>
      <c r="E181">
        <v>0</v>
      </c>
      <c r="F181" s="5">
        <v>0.34</v>
      </c>
    </row>
    <row r="182" spans="1:6" x14ac:dyDescent="0.3">
      <c r="A182" t="s">
        <v>7</v>
      </c>
      <c r="B182" s="7">
        <f>_xlfn.XLOOKUP(tblOverrideExchangePrices[[#This Row],[realm_name]],ref_realm[realm_name],ref_realm[realm_key])</f>
        <v>2</v>
      </c>
      <c r="C182" t="s">
        <v>25</v>
      </c>
      <c r="D182" s="7">
        <f>_xlfn.XLOOKUP(tblOverrideExchangePrices[[#This Row],[product_name]],ref_product[product_name],ref_product[product_key])</f>
        <v>120</v>
      </c>
      <c r="E182">
        <v>0</v>
      </c>
      <c r="F182" s="5">
        <v>0.23899999999999999</v>
      </c>
    </row>
    <row r="183" spans="1:6" x14ac:dyDescent="0.3">
      <c r="A183" t="s">
        <v>7</v>
      </c>
      <c r="B183" s="7">
        <f>_xlfn.XLOOKUP(tblOverrideExchangePrices[[#This Row],[realm_name]],ref_realm[realm_name],ref_realm[realm_key])</f>
        <v>2</v>
      </c>
      <c r="C183" t="s">
        <v>27</v>
      </c>
      <c r="D183" s="7">
        <f>_xlfn.XLOOKUP(tblOverrideExchangePrices[[#This Row],[product_name]],ref_product[product_name],ref_product[product_key])</f>
        <v>135</v>
      </c>
      <c r="E183">
        <v>0</v>
      </c>
      <c r="F183" s="5">
        <v>1.57</v>
      </c>
    </row>
    <row r="184" spans="1:6" x14ac:dyDescent="0.3">
      <c r="A184" t="s">
        <v>7</v>
      </c>
      <c r="B184" s="7">
        <f>_xlfn.XLOOKUP(tblOverrideExchangePrices[[#This Row],[realm_name]],ref_realm[realm_name],ref_realm[realm_key])</f>
        <v>2</v>
      </c>
      <c r="C184" t="s">
        <v>28</v>
      </c>
      <c r="D184" s="7">
        <f>_xlfn.XLOOKUP(tblOverrideExchangePrices[[#This Row],[product_name]],ref_product[product_name],ref_product[product_key])</f>
        <v>94</v>
      </c>
      <c r="E184">
        <v>0</v>
      </c>
      <c r="F184" s="5">
        <v>2.2999999999999998</v>
      </c>
    </row>
    <row r="185" spans="1:6" x14ac:dyDescent="0.3">
      <c r="A185" t="s">
        <v>7</v>
      </c>
      <c r="B185" s="7">
        <f>_xlfn.XLOOKUP(tblOverrideExchangePrices[[#This Row],[realm_name]],ref_realm[realm_name],ref_realm[realm_key])</f>
        <v>2</v>
      </c>
      <c r="C185" t="s">
        <v>26</v>
      </c>
      <c r="D185" s="7">
        <f>_xlfn.XLOOKUP(tblOverrideExchangePrices[[#This Row],[product_name]],ref_product[product_name],ref_product[product_key])</f>
        <v>134</v>
      </c>
      <c r="E185">
        <v>0</v>
      </c>
      <c r="F185" s="5">
        <v>19.2</v>
      </c>
    </row>
    <row r="186" spans="1:6" x14ac:dyDescent="0.3">
      <c r="A186" t="s">
        <v>7</v>
      </c>
      <c r="B186" s="7">
        <f>_xlfn.XLOOKUP(tblOverrideExchangePrices[[#This Row],[realm_name]],ref_realm[realm_name],ref_realm[realm_key])</f>
        <v>2</v>
      </c>
      <c r="C186" t="s">
        <v>29</v>
      </c>
      <c r="D186" s="7">
        <f>_xlfn.XLOOKUP(tblOverrideExchangePrices[[#This Row],[product_name]],ref_product[product_name],ref_product[product_key])</f>
        <v>93</v>
      </c>
      <c r="E186">
        <v>0</v>
      </c>
      <c r="F186" s="5">
        <v>34</v>
      </c>
    </row>
    <row r="187" spans="1:6" x14ac:dyDescent="0.3">
      <c r="A187" t="s">
        <v>7</v>
      </c>
      <c r="B187" s="7">
        <f>_xlfn.XLOOKUP(tblOverrideExchangePrices[[#This Row],[realm_name]],ref_realm[realm_name],ref_realm[realm_key])</f>
        <v>2</v>
      </c>
      <c r="C187" t="s">
        <v>40</v>
      </c>
      <c r="D187" s="7">
        <f>_xlfn.XLOOKUP(tblOverrideExchangePrices[[#This Row],[product_name]],ref_product[product_name],ref_product[product_key])</f>
        <v>139</v>
      </c>
      <c r="E187">
        <v>0</v>
      </c>
      <c r="F187" s="5">
        <v>0.35399999999999998</v>
      </c>
    </row>
    <row r="188" spans="1:6" x14ac:dyDescent="0.3">
      <c r="D188" s="5"/>
    </row>
    <row r="189" spans="1:6" x14ac:dyDescent="0.3">
      <c r="D189" s="5"/>
    </row>
    <row r="190" spans="1:6" x14ac:dyDescent="0.3">
      <c r="D190" s="5"/>
    </row>
    <row r="191" spans="1:6" x14ac:dyDescent="0.3">
      <c r="D191" s="5"/>
    </row>
    <row r="192" spans="1:6" x14ac:dyDescent="0.3">
      <c r="D192" s="5"/>
    </row>
    <row r="193" spans="1:6" x14ac:dyDescent="0.3">
      <c r="D193" s="5"/>
    </row>
    <row r="196" spans="1:6" x14ac:dyDescent="0.3">
      <c r="A196" s="2" t="s">
        <v>4</v>
      </c>
      <c r="B196" s="1"/>
      <c r="C196" s="1"/>
    </row>
    <row r="197" spans="1:6" x14ac:dyDescent="0.3">
      <c r="A197" s="6" t="s">
        <v>265</v>
      </c>
      <c r="B197" s="6" t="s">
        <v>264</v>
      </c>
      <c r="C197" t="s">
        <v>128</v>
      </c>
      <c r="D197" t="s">
        <v>35</v>
      </c>
      <c r="E197" t="s">
        <v>36</v>
      </c>
      <c r="F197" t="s">
        <v>275</v>
      </c>
    </row>
    <row r="198" spans="1:6" x14ac:dyDescent="0.3">
      <c r="A198" t="s">
        <v>7</v>
      </c>
      <c r="B198" s="7">
        <f>_xlfn.XLOOKUP(tblOverrideRetailPrices[[#This Row],[realm_name]],ref_realm[realm_name],ref_realm[realm_key])</f>
        <v>2</v>
      </c>
      <c r="C198" t="s">
        <v>29</v>
      </c>
      <c r="D198" s="7">
        <f>_xlfn.XLOOKUP(tblOverrideRetailPrices[[#This Row],[product_name]],ref_product[product_name],ref_product[product_key])</f>
        <v>93</v>
      </c>
      <c r="E198">
        <v>0</v>
      </c>
      <c r="F198" s="5">
        <v>59.38</v>
      </c>
    </row>
  </sheetData>
  <phoneticPr fontId="2" type="noConversion"/>
  <dataValidations count="13">
    <dataValidation type="whole" operator="greaterThan" allowBlank="1" showInputMessage="1" showErrorMessage="1" prompt="Positive Integer" sqref="A7:A8 G7:G8 E21:E43" xr:uid="{99DA1997-5977-4E70-8A4D-DD9EC087DDFF}">
      <formula1>0</formula1>
    </dataValidation>
    <dataValidation type="decimal" allowBlank="1" showInputMessage="1" showErrorMessage="1" prompt="Fraction" sqref="F62:F83 I7:J8" xr:uid="{B98F4738-E572-4B34-A9FE-9BE4A566A415}">
      <formula1>0</formula1>
      <formula2>1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whole" operator="greaterThanOrEqual" allowBlank="1" showInputMessage="1" showErrorMessage="1" prompt="Non-negative Integer" sqref="E198 E62:E83 D98:E114 D96:E96 E170:E187 C188:C193" xr:uid="{8A7F0B46-EC6F-4348-9CD0-1A4A6AB9B057}">
      <formula1>0</formula1>
    </dataValidation>
    <dataValidation type="decimal" allowBlank="1" showInputMessage="1" showErrorMessage="1" prompt="Fraction between 0 and 1" sqref="J96:J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H96:H114" xr:uid="{699F147C-A98A-4CDA-BC05-72AD964C4511}">
      <formula1>0</formula1>
    </dataValidation>
    <dataValidation type="list" allowBlank="1" showInputMessage="1" showErrorMessage="1" sqref="A170:A187 C6:C8 A198" xr:uid="{DDFBCD6A-1B48-4D8B-B51B-FE71E4187B92}">
      <formula1>nr_RealmNames</formula1>
    </dataValidation>
    <dataValidation type="list" allowBlank="1" showInputMessage="1" showErrorMessage="1" sqref="C20:C42 C43 E128" xr:uid="{130C0361-AF17-48C4-8178-143F0F300132}">
      <formula1>nr_BuildingNames</formula1>
    </dataValidation>
    <dataValidation type="list" allowBlank="1" showInputMessage="1" showErrorMessage="1" sqref="C61:C83 B127 C169:C187 C197:C198 B95:B113 B114 B128" xr:uid="{7BD53720-CFC6-4E50-8FE1-F52A2F15762A}">
      <formula1>nr_ProductNames</formula1>
    </dataValidation>
    <dataValidation type="list" allowBlank="1" showInputMessage="1" showErrorMessage="1" sqref="F95:F114" xr:uid="{48E6661E-8C5C-454A-91FA-9C13173E3C8B}">
      <formula1>nr_ChannelNames</formula1>
    </dataValidation>
    <dataValidation operator="greaterThanOrEqual" allowBlank="1" showErrorMessage="1" sqref="I95:I114" xr:uid="{6E69827F-EAE4-4DD7-9863-2EE71375434A}"/>
    <dataValidation type="list" allowBlank="1" showInputMessage="1" showErrorMessage="1" sqref="E7:E8" xr:uid="{49E307C6-8ED0-40A5-9ABB-A74739BAA347}">
      <formula1>nr_EconomicPhaseNames</formula1>
    </dataValidation>
  </dataValidations>
  <pageMargins left="0.7" right="0.7" top="0.75" bottom="0.75" header="0.3" footer="0.3"/>
  <pageSetup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3:X11"/>
  <sheetViews>
    <sheetView showGridLines="0" workbookViewId="0">
      <selection activeCell="B12" sqref="B12"/>
    </sheetView>
  </sheetViews>
  <sheetFormatPr defaultRowHeight="16.5" x14ac:dyDescent="0.3"/>
  <cols>
    <col min="1" max="1" width="12.7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>
    <row r="3" spans="1:24" x14ac:dyDescent="0.3">
      <c r="A3" t="s">
        <v>35</v>
      </c>
      <c r="B3" t="s">
        <v>36</v>
      </c>
      <c r="C3" t="s">
        <v>37</v>
      </c>
      <c r="D3" t="s">
        <v>38</v>
      </c>
      <c r="E3" t="s">
        <v>50</v>
      </c>
      <c r="F3" t="s">
        <v>51</v>
      </c>
      <c r="G3" t="s">
        <v>39</v>
      </c>
      <c r="H3" t="s">
        <v>52</v>
      </c>
      <c r="I3" t="s">
        <v>49</v>
      </c>
      <c r="Q3" t="s">
        <v>41</v>
      </c>
      <c r="R3" t="s">
        <v>42</v>
      </c>
      <c r="S3" t="s">
        <v>48</v>
      </c>
      <c r="T3" t="s">
        <v>43</v>
      </c>
      <c r="U3" t="s">
        <v>44</v>
      </c>
      <c r="V3" t="s">
        <v>45</v>
      </c>
      <c r="W3" t="s">
        <v>46</v>
      </c>
      <c r="X3" t="s">
        <v>47</v>
      </c>
    </row>
    <row r="4" spans="1:24" x14ac:dyDescent="0.3">
      <c r="A4" t="s">
        <v>18</v>
      </c>
      <c r="B4">
        <v>2</v>
      </c>
      <c r="C4">
        <v>48130.21</v>
      </c>
      <c r="D4">
        <f>0.15*C4</f>
        <v>7219.5315000000001</v>
      </c>
      <c r="E4">
        <f>Inputs!F170*C4*0.96</f>
        <v>12013.300416</v>
      </c>
      <c r="F4">
        <f t="shared" ref="F4:F11" si="0">E4-D4</f>
        <v>4793.768916</v>
      </c>
      <c r="G4">
        <f>SUM(Q4:Q11)</f>
        <v>22751.62</v>
      </c>
      <c r="I4">
        <f>C4-G4</f>
        <v>25378.59</v>
      </c>
    </row>
    <row r="5" spans="1:24" x14ac:dyDescent="0.3">
      <c r="A5" t="s">
        <v>19</v>
      </c>
      <c r="B5">
        <v>2</v>
      </c>
      <c r="C5">
        <v>1694.2</v>
      </c>
      <c r="D5">
        <f>C5*0.2</f>
        <v>338.84000000000003</v>
      </c>
      <c r="E5">
        <f>Inputs!F171*C5*0.96</f>
        <v>618.04416000000003</v>
      </c>
      <c r="F5">
        <f t="shared" si="0"/>
        <v>279.20416</v>
      </c>
      <c r="G5">
        <f>SUM(R4:R11)</f>
        <v>645.37</v>
      </c>
      <c r="I5">
        <f t="shared" ref="I5:I11" si="1">C5-G5</f>
        <v>1048.83</v>
      </c>
      <c r="Q5">
        <f>0.2*C5</f>
        <v>338.84000000000003</v>
      </c>
    </row>
    <row r="6" spans="1:24" x14ac:dyDescent="0.3">
      <c r="A6" t="s">
        <v>23</v>
      </c>
      <c r="B6">
        <v>2</v>
      </c>
      <c r="C6">
        <v>104.09</v>
      </c>
      <c r="D6">
        <f>5.3*C6</f>
        <v>551.67700000000002</v>
      </c>
      <c r="E6">
        <f>Inputs!F172*C6*0.96-Inputs!F187*10*Output!C6</f>
        <v>2754.2213999999999</v>
      </c>
      <c r="F6">
        <f t="shared" si="0"/>
        <v>2202.5443999999998</v>
      </c>
      <c r="G6">
        <f>SUM(U4:U11)</f>
        <v>24956</v>
      </c>
      <c r="I6">
        <f t="shared" si="1"/>
        <v>-24851.91</v>
      </c>
      <c r="Q6">
        <f>80*C6</f>
        <v>8327.2000000000007</v>
      </c>
      <c r="R6">
        <f>2*C6</f>
        <v>208.18</v>
      </c>
    </row>
    <row r="7" spans="1:24" x14ac:dyDescent="0.3">
      <c r="A7" t="s">
        <v>24</v>
      </c>
      <c r="B7">
        <v>2</v>
      </c>
      <c r="C7">
        <v>437.19</v>
      </c>
      <c r="D7">
        <f>2.53*C7</f>
        <v>1106.0907</v>
      </c>
      <c r="E7">
        <f>Inputs!F174*C7*0.96-Inputs!F187*C7</f>
        <v>4461.9611399999994</v>
      </c>
      <c r="F7">
        <f t="shared" si="0"/>
        <v>3355.8704399999997</v>
      </c>
      <c r="G7">
        <f>SUM(T4:T11)</f>
        <v>148.54999999999998</v>
      </c>
      <c r="I7">
        <f t="shared" si="1"/>
        <v>288.64</v>
      </c>
      <c r="Q7">
        <f>20*C7</f>
        <v>8743.7999999999993</v>
      </c>
      <c r="R7">
        <f>C7</f>
        <v>437.19</v>
      </c>
    </row>
    <row r="8" spans="1:24" x14ac:dyDescent="0.3">
      <c r="A8" t="s">
        <v>22</v>
      </c>
      <c r="B8">
        <v>2</v>
      </c>
      <c r="C8">
        <f>320.87/3</f>
        <v>106.95666666666666</v>
      </c>
      <c r="D8">
        <f>2.58*C8</f>
        <v>275.94819999999999</v>
      </c>
      <c r="E8">
        <f>Inputs!F177*C8*0.96-Inputs!F187*C8</f>
        <v>824.63589999999999</v>
      </c>
      <c r="F8">
        <f t="shared" si="0"/>
        <v>548.68769999999995</v>
      </c>
      <c r="G8">
        <f>SUM(V4:V11)</f>
        <v>15.32</v>
      </c>
      <c r="I8">
        <f t="shared" si="1"/>
        <v>91.636666666666656</v>
      </c>
      <c r="Q8">
        <f>3*C8</f>
        <v>320.87</v>
      </c>
      <c r="S8">
        <f>2*C8</f>
        <v>213.91333333333333</v>
      </c>
    </row>
    <row r="9" spans="1:24" x14ac:dyDescent="0.3">
      <c r="A9" t="s">
        <v>21</v>
      </c>
      <c r="B9">
        <v>2</v>
      </c>
      <c r="C9">
        <f>445.65/3</f>
        <v>148.54999999999998</v>
      </c>
      <c r="D9">
        <f>1.86*C9</f>
        <v>276.303</v>
      </c>
      <c r="E9">
        <f>Inputs!F175*C9*0.96-C9*Inputs!F187</f>
        <v>2015.2292999999997</v>
      </c>
      <c r="F9">
        <f t="shared" si="0"/>
        <v>1738.9262999999996</v>
      </c>
      <c r="G9">
        <f>SUM(W4:W11)</f>
        <v>11.49</v>
      </c>
      <c r="I9">
        <f t="shared" si="1"/>
        <v>137.05999999999997</v>
      </c>
      <c r="Q9">
        <f>0.2*C9</f>
        <v>29.709999999999997</v>
      </c>
      <c r="T9">
        <f>C9</f>
        <v>148.54999999999998</v>
      </c>
    </row>
    <row r="10" spans="1:24" x14ac:dyDescent="0.3">
      <c r="A10" t="s">
        <v>33</v>
      </c>
      <c r="B10">
        <v>2</v>
      </c>
      <c r="C10">
        <f>124.78</f>
        <v>124.78</v>
      </c>
      <c r="D10">
        <f>13.27*C10</f>
        <v>1655.8306</v>
      </c>
      <c r="E10">
        <f>Inputs!F173*C10*0.96-1000*C10*Inputs!F187</f>
        <v>734455.08</v>
      </c>
      <c r="F10">
        <f t="shared" si="0"/>
        <v>732799.24939999997</v>
      </c>
      <c r="G10">
        <f>SUM(X4:X11)</f>
        <v>0.239375</v>
      </c>
      <c r="I10">
        <f t="shared" si="1"/>
        <v>124.54062500000001</v>
      </c>
      <c r="Q10">
        <f>40*C10</f>
        <v>4991.2</v>
      </c>
      <c r="U10">
        <f>200*C10</f>
        <v>24956</v>
      </c>
    </row>
    <row r="11" spans="1:24" x14ac:dyDescent="0.3">
      <c r="A11" t="s">
        <v>31</v>
      </c>
      <c r="B11">
        <v>2</v>
      </c>
      <c r="C11">
        <v>3.83</v>
      </c>
      <c r="D11">
        <f>C11*198.35</f>
        <v>759.68049999999994</v>
      </c>
      <c r="E11">
        <f>Inputs!F179*C11*0.96-Inputs!F187*C11</f>
        <v>3289.3801799999997</v>
      </c>
      <c r="F11">
        <f t="shared" si="0"/>
        <v>2529.6996799999997</v>
      </c>
      <c r="I11">
        <f t="shared" si="1"/>
        <v>3.83</v>
      </c>
      <c r="V11">
        <f>4*C11</f>
        <v>15.32</v>
      </c>
      <c r="W11">
        <f>3*C11</f>
        <v>11.49</v>
      </c>
      <c r="X11">
        <f>C11/16</f>
        <v>0.239375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17207-3CC9-4E44-91B5-113797701512}">
  <dimension ref="A1:E17"/>
  <sheetViews>
    <sheetView showGridLines="0" workbookViewId="0">
      <selection activeCell="F2" sqref="F2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5.375" bestFit="1" customWidth="1"/>
    <col min="5" max="5" width="18.625" bestFit="1" customWidth="1"/>
  </cols>
  <sheetData>
    <row r="1" spans="1:5" x14ac:dyDescent="0.3">
      <c r="A1" t="s">
        <v>59</v>
      </c>
      <c r="B1" t="s">
        <v>35</v>
      </c>
      <c r="C1" t="s">
        <v>36</v>
      </c>
      <c r="D1" t="s">
        <v>68</v>
      </c>
      <c r="E1" t="s">
        <v>128</v>
      </c>
    </row>
    <row r="2" spans="1:5" x14ac:dyDescent="0.3">
      <c r="A2">
        <v>1</v>
      </c>
      <c r="B2">
        <v>10</v>
      </c>
      <c r="C2">
        <v>2</v>
      </c>
      <c r="D2">
        <v>13.135200000000001</v>
      </c>
      <c r="E2" t="s">
        <v>20</v>
      </c>
    </row>
    <row r="3" spans="1:5" x14ac:dyDescent="0.3">
      <c r="A3">
        <v>1</v>
      </c>
      <c r="B3">
        <v>23</v>
      </c>
      <c r="C3">
        <v>2</v>
      </c>
      <c r="D3">
        <v>412.83216000000004</v>
      </c>
      <c r="E3" t="s">
        <v>21</v>
      </c>
    </row>
    <row r="4" spans="1:5" x14ac:dyDescent="0.3">
      <c r="A4">
        <v>1</v>
      </c>
      <c r="B4">
        <v>62</v>
      </c>
      <c r="C4">
        <v>2</v>
      </c>
      <c r="D4">
        <v>103.91680000000001</v>
      </c>
      <c r="E4" t="s">
        <v>23</v>
      </c>
    </row>
    <row r="5" spans="1:5" x14ac:dyDescent="0.3">
      <c r="A5">
        <v>1</v>
      </c>
      <c r="B5">
        <v>63</v>
      </c>
      <c r="C5">
        <v>2</v>
      </c>
      <c r="D5">
        <v>3.1148000000000002</v>
      </c>
      <c r="E5" t="s">
        <v>33</v>
      </c>
    </row>
    <row r="6" spans="1:5" x14ac:dyDescent="0.3">
      <c r="A6">
        <v>1</v>
      </c>
      <c r="B6">
        <v>69</v>
      </c>
      <c r="C6">
        <v>2</v>
      </c>
      <c r="D6">
        <v>2.8704000000000001</v>
      </c>
      <c r="E6" t="s">
        <v>31</v>
      </c>
    </row>
    <row r="7" spans="1:5" x14ac:dyDescent="0.3">
      <c r="A7">
        <v>1</v>
      </c>
      <c r="B7">
        <v>88</v>
      </c>
      <c r="C7">
        <v>2</v>
      </c>
      <c r="D7">
        <v>436.46720000000005</v>
      </c>
      <c r="E7" t="s">
        <v>24</v>
      </c>
    </row>
    <row r="8" spans="1:5" x14ac:dyDescent="0.3">
      <c r="A8">
        <v>2</v>
      </c>
      <c r="B8">
        <v>93</v>
      </c>
      <c r="C8">
        <v>0</v>
      </c>
      <c r="D8">
        <v>91.41</v>
      </c>
      <c r="E8" t="s">
        <v>29</v>
      </c>
    </row>
    <row r="9" spans="1:5" x14ac:dyDescent="0.3">
      <c r="A9">
        <v>2</v>
      </c>
      <c r="B9">
        <v>94</v>
      </c>
      <c r="C9">
        <v>0</v>
      </c>
      <c r="D9">
        <v>297.61599999999999</v>
      </c>
      <c r="E9" t="s">
        <v>28</v>
      </c>
    </row>
    <row r="10" spans="1:5" x14ac:dyDescent="0.3">
      <c r="A10">
        <v>1</v>
      </c>
      <c r="B10">
        <v>102</v>
      </c>
      <c r="C10">
        <v>2</v>
      </c>
      <c r="D10">
        <v>48053.116800000003</v>
      </c>
      <c r="E10" t="s">
        <v>18</v>
      </c>
    </row>
    <row r="11" spans="1:5" x14ac:dyDescent="0.3">
      <c r="A11">
        <v>2</v>
      </c>
      <c r="B11">
        <v>102</v>
      </c>
      <c r="C11">
        <v>0</v>
      </c>
      <c r="D11">
        <v>2566.94</v>
      </c>
      <c r="E11" t="s">
        <v>18</v>
      </c>
    </row>
    <row r="12" spans="1:5" x14ac:dyDescent="0.3">
      <c r="A12">
        <v>2</v>
      </c>
      <c r="B12">
        <v>120</v>
      </c>
      <c r="C12">
        <v>0</v>
      </c>
      <c r="D12">
        <v>177.92600000000002</v>
      </c>
      <c r="E12" t="s">
        <v>25</v>
      </c>
    </row>
    <row r="13" spans="1:5" x14ac:dyDescent="0.3">
      <c r="A13">
        <v>1</v>
      </c>
      <c r="B13">
        <v>121</v>
      </c>
      <c r="C13">
        <v>2</v>
      </c>
      <c r="D13">
        <v>16.018080000000001</v>
      </c>
      <c r="E13" t="s">
        <v>22</v>
      </c>
    </row>
    <row r="14" spans="1:5" x14ac:dyDescent="0.3">
      <c r="A14">
        <v>2</v>
      </c>
      <c r="B14">
        <v>134</v>
      </c>
      <c r="C14">
        <v>0</v>
      </c>
      <c r="D14">
        <v>82.66</v>
      </c>
      <c r="E14" t="s">
        <v>26</v>
      </c>
    </row>
    <row r="15" spans="1:5" x14ac:dyDescent="0.3">
      <c r="A15">
        <v>2</v>
      </c>
      <c r="B15">
        <v>135</v>
      </c>
      <c r="C15">
        <v>0</v>
      </c>
      <c r="D15">
        <v>129.4</v>
      </c>
      <c r="E15" t="s">
        <v>27</v>
      </c>
    </row>
    <row r="16" spans="1:5" x14ac:dyDescent="0.3">
      <c r="A16">
        <v>1</v>
      </c>
      <c r="B16">
        <v>145</v>
      </c>
      <c r="C16">
        <v>2</v>
      </c>
      <c r="D16">
        <v>1691.4872</v>
      </c>
      <c r="E16" t="s">
        <v>19</v>
      </c>
    </row>
    <row r="17" spans="1:5" x14ac:dyDescent="0.3">
      <c r="A17">
        <v>2</v>
      </c>
      <c r="B17">
        <v>145</v>
      </c>
      <c r="C17">
        <v>0</v>
      </c>
      <c r="D17">
        <v>1626.43</v>
      </c>
      <c r="E17" t="s">
        <v>19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E13"/>
  <sheetViews>
    <sheetView showGridLines="0" workbookViewId="0">
      <selection activeCell="H4" sqref="H4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6.125" bestFit="1" customWidth="1"/>
    <col min="5" max="5" width="15.75" bestFit="1" customWidth="1"/>
  </cols>
  <sheetData>
    <row r="1" spans="1:5" x14ac:dyDescent="0.3">
      <c r="A1" t="s">
        <v>59</v>
      </c>
      <c r="B1" t="s">
        <v>35</v>
      </c>
      <c r="C1" t="s">
        <v>36</v>
      </c>
      <c r="D1" t="s">
        <v>67</v>
      </c>
      <c r="E1" t="s">
        <v>128</v>
      </c>
    </row>
    <row r="2" spans="1:5" x14ac:dyDescent="0.3">
      <c r="A2">
        <v>1</v>
      </c>
      <c r="B2">
        <v>23</v>
      </c>
      <c r="C2">
        <v>2</v>
      </c>
      <c r="D2">
        <v>40</v>
      </c>
      <c r="E2" t="s">
        <v>21</v>
      </c>
    </row>
    <row r="3" spans="1:5" x14ac:dyDescent="0.3">
      <c r="A3">
        <v>1</v>
      </c>
      <c r="B3">
        <v>62</v>
      </c>
      <c r="C3">
        <v>2</v>
      </c>
      <c r="D3">
        <v>600</v>
      </c>
      <c r="E3" t="s">
        <v>23</v>
      </c>
    </row>
    <row r="4" spans="1:5" x14ac:dyDescent="0.3">
      <c r="A4">
        <v>1</v>
      </c>
      <c r="B4">
        <v>88</v>
      </c>
      <c r="C4">
        <v>2</v>
      </c>
      <c r="D4">
        <v>450</v>
      </c>
      <c r="E4" t="s">
        <v>24</v>
      </c>
    </row>
    <row r="5" spans="1:5" x14ac:dyDescent="0.3">
      <c r="A5">
        <v>1</v>
      </c>
      <c r="B5">
        <v>102</v>
      </c>
      <c r="C5">
        <v>2</v>
      </c>
      <c r="D5">
        <v>74817</v>
      </c>
      <c r="E5" t="s">
        <v>18</v>
      </c>
    </row>
    <row r="6" spans="1:5" x14ac:dyDescent="0.3">
      <c r="A6">
        <v>1</v>
      </c>
      <c r="B6">
        <v>116</v>
      </c>
      <c r="C6">
        <v>2</v>
      </c>
      <c r="D6">
        <v>32</v>
      </c>
      <c r="E6" t="s">
        <v>34</v>
      </c>
    </row>
    <row r="7" spans="1:5" x14ac:dyDescent="0.3">
      <c r="A7">
        <v>1</v>
      </c>
      <c r="B7">
        <v>145</v>
      </c>
      <c r="C7">
        <v>2</v>
      </c>
      <c r="D7">
        <v>2285</v>
      </c>
      <c r="E7" t="s">
        <v>19</v>
      </c>
    </row>
    <row r="8" spans="1:5" x14ac:dyDescent="0.3">
      <c r="A8">
        <v>2</v>
      </c>
      <c r="B8">
        <v>94</v>
      </c>
      <c r="C8">
        <v>0</v>
      </c>
      <c r="D8">
        <v>250</v>
      </c>
      <c r="E8" t="s">
        <v>28</v>
      </c>
    </row>
    <row r="9" spans="1:5" x14ac:dyDescent="0.3">
      <c r="A9">
        <v>2</v>
      </c>
      <c r="B9">
        <v>102</v>
      </c>
      <c r="C9">
        <v>0</v>
      </c>
      <c r="D9">
        <v>812</v>
      </c>
      <c r="E9" t="s">
        <v>18</v>
      </c>
    </row>
    <row r="10" spans="1:5" x14ac:dyDescent="0.3">
      <c r="A10">
        <v>2</v>
      </c>
      <c r="B10">
        <v>120</v>
      </c>
      <c r="C10">
        <v>0</v>
      </c>
      <c r="D10">
        <v>700</v>
      </c>
      <c r="E10" t="s">
        <v>25</v>
      </c>
    </row>
    <row r="11" spans="1:5" x14ac:dyDescent="0.3">
      <c r="A11">
        <v>2</v>
      </c>
      <c r="B11">
        <v>134</v>
      </c>
      <c r="C11">
        <v>0</v>
      </c>
      <c r="D11">
        <v>50</v>
      </c>
      <c r="E11" t="s">
        <v>26</v>
      </c>
    </row>
    <row r="12" spans="1:5" x14ac:dyDescent="0.3">
      <c r="A12">
        <v>2</v>
      </c>
      <c r="B12">
        <v>135</v>
      </c>
      <c r="C12">
        <v>0</v>
      </c>
      <c r="D12">
        <v>100</v>
      </c>
      <c r="E12" t="s">
        <v>27</v>
      </c>
    </row>
    <row r="13" spans="1:5" x14ac:dyDescent="0.3">
      <c r="A13">
        <v>2</v>
      </c>
      <c r="B13">
        <v>145</v>
      </c>
      <c r="C13">
        <v>0</v>
      </c>
      <c r="D13">
        <v>2185</v>
      </c>
      <c r="E13" t="s">
        <v>19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9926D-6FBC-4A61-939F-8560E1D5079E}">
  <dimension ref="A1:H37"/>
  <sheetViews>
    <sheetView showGridLines="0" workbookViewId="0"/>
  </sheetViews>
  <sheetFormatPr defaultRowHeight="16.5" x14ac:dyDescent="0.3"/>
  <cols>
    <col min="1" max="1" width="14.875" bestFit="1" customWidth="1"/>
    <col min="2" max="2" width="20.5" bestFit="1" customWidth="1"/>
    <col min="3" max="3" width="20.625" bestFit="1" customWidth="1"/>
    <col min="4" max="4" width="24.125" bestFit="1" customWidth="1"/>
    <col min="5" max="5" width="24.25" bestFit="1" customWidth="1"/>
    <col min="6" max="6" width="26.125" bestFit="1" customWidth="1"/>
    <col min="7" max="7" width="22.375" bestFit="1" customWidth="1"/>
    <col min="8" max="8" width="26" bestFit="1" customWidth="1"/>
  </cols>
  <sheetData>
    <row r="1" spans="1:8" x14ac:dyDescent="0.3">
      <c r="A1" t="s">
        <v>59</v>
      </c>
      <c r="B1" t="s">
        <v>75</v>
      </c>
      <c r="C1" t="s">
        <v>76</v>
      </c>
      <c r="D1" t="s">
        <v>77</v>
      </c>
      <c r="E1" t="s">
        <v>78</v>
      </c>
      <c r="F1" t="s">
        <v>67</v>
      </c>
      <c r="G1" t="s">
        <v>79</v>
      </c>
      <c r="H1" t="s">
        <v>80</v>
      </c>
    </row>
    <row r="2" spans="1:8" x14ac:dyDescent="0.3">
      <c r="A2">
        <v>1</v>
      </c>
      <c r="B2">
        <v>10</v>
      </c>
      <c r="C2">
        <v>2</v>
      </c>
      <c r="D2">
        <v>23</v>
      </c>
      <c r="E2">
        <v>2</v>
      </c>
      <c r="F2">
        <v>40</v>
      </c>
      <c r="G2" t="s">
        <v>20</v>
      </c>
      <c r="H2" t="s">
        <v>21</v>
      </c>
    </row>
    <row r="3" spans="1:8" x14ac:dyDescent="0.3">
      <c r="A3">
        <v>1</v>
      </c>
      <c r="B3">
        <v>63</v>
      </c>
      <c r="C3">
        <v>2</v>
      </c>
      <c r="D3">
        <v>62</v>
      </c>
      <c r="E3">
        <v>2</v>
      </c>
      <c r="F3">
        <v>600</v>
      </c>
      <c r="G3" t="s">
        <v>33</v>
      </c>
      <c r="H3" t="s">
        <v>23</v>
      </c>
    </row>
    <row r="4" spans="1:8" x14ac:dyDescent="0.3">
      <c r="A4">
        <v>1</v>
      </c>
      <c r="B4">
        <v>10</v>
      </c>
      <c r="C4">
        <v>2</v>
      </c>
      <c r="D4">
        <v>88</v>
      </c>
      <c r="E4">
        <v>2</v>
      </c>
      <c r="F4">
        <v>40</v>
      </c>
      <c r="G4" t="s">
        <v>20</v>
      </c>
      <c r="H4" t="s">
        <v>24</v>
      </c>
    </row>
    <row r="5" spans="1:8" x14ac:dyDescent="0.3">
      <c r="A5">
        <v>1</v>
      </c>
      <c r="B5">
        <v>23</v>
      </c>
      <c r="C5">
        <v>2</v>
      </c>
      <c r="D5">
        <v>88</v>
      </c>
      <c r="E5">
        <v>2</v>
      </c>
      <c r="F5">
        <v>410</v>
      </c>
      <c r="G5" t="s">
        <v>21</v>
      </c>
      <c r="H5" t="s">
        <v>24</v>
      </c>
    </row>
    <row r="6" spans="1:8" x14ac:dyDescent="0.3">
      <c r="A6">
        <v>2</v>
      </c>
      <c r="B6">
        <v>93</v>
      </c>
      <c r="C6">
        <v>0</v>
      </c>
      <c r="D6">
        <v>94</v>
      </c>
      <c r="E6">
        <v>0</v>
      </c>
      <c r="F6">
        <v>250</v>
      </c>
      <c r="G6" t="s">
        <v>29</v>
      </c>
      <c r="H6" t="s">
        <v>28</v>
      </c>
    </row>
    <row r="7" spans="1:8" x14ac:dyDescent="0.3">
      <c r="A7">
        <v>1</v>
      </c>
      <c r="B7">
        <v>10</v>
      </c>
      <c r="C7">
        <v>2</v>
      </c>
      <c r="D7">
        <v>102</v>
      </c>
      <c r="E7">
        <v>2</v>
      </c>
      <c r="F7">
        <v>816</v>
      </c>
      <c r="G7" t="s">
        <v>20</v>
      </c>
      <c r="H7" t="s">
        <v>18</v>
      </c>
    </row>
    <row r="8" spans="1:8" x14ac:dyDescent="0.3">
      <c r="A8">
        <v>1</v>
      </c>
      <c r="B8">
        <v>23</v>
      </c>
      <c r="C8">
        <v>2</v>
      </c>
      <c r="D8">
        <v>102</v>
      </c>
      <c r="E8">
        <v>2</v>
      </c>
      <c r="F8">
        <v>8364</v>
      </c>
      <c r="G8" t="s">
        <v>21</v>
      </c>
      <c r="H8" t="s">
        <v>18</v>
      </c>
    </row>
    <row r="9" spans="1:8" x14ac:dyDescent="0.3">
      <c r="A9">
        <v>1</v>
      </c>
      <c r="B9">
        <v>62</v>
      </c>
      <c r="C9">
        <v>2</v>
      </c>
      <c r="D9">
        <v>102</v>
      </c>
      <c r="E9">
        <v>2</v>
      </c>
      <c r="F9">
        <v>8040</v>
      </c>
      <c r="G9" t="s">
        <v>23</v>
      </c>
      <c r="H9" t="s">
        <v>18</v>
      </c>
    </row>
    <row r="10" spans="1:8" x14ac:dyDescent="0.3">
      <c r="A10">
        <v>1</v>
      </c>
      <c r="B10">
        <v>63</v>
      </c>
      <c r="C10">
        <v>2</v>
      </c>
      <c r="D10">
        <v>102</v>
      </c>
      <c r="E10">
        <v>2</v>
      </c>
      <c r="F10">
        <v>48360</v>
      </c>
      <c r="G10" t="s">
        <v>33</v>
      </c>
      <c r="H10" t="s">
        <v>18</v>
      </c>
    </row>
    <row r="11" spans="1:8" x14ac:dyDescent="0.3">
      <c r="A11">
        <v>1</v>
      </c>
      <c r="B11">
        <v>88</v>
      </c>
      <c r="C11">
        <v>2</v>
      </c>
      <c r="D11">
        <v>102</v>
      </c>
      <c r="E11">
        <v>2</v>
      </c>
      <c r="F11">
        <v>8787</v>
      </c>
      <c r="G11" t="s">
        <v>24</v>
      </c>
      <c r="H11" t="s">
        <v>18</v>
      </c>
    </row>
    <row r="12" spans="1:8" x14ac:dyDescent="0.3">
      <c r="A12">
        <v>2</v>
      </c>
      <c r="B12">
        <v>93</v>
      </c>
      <c r="C12">
        <v>0</v>
      </c>
      <c r="D12">
        <v>102</v>
      </c>
      <c r="E12">
        <v>0</v>
      </c>
      <c r="F12">
        <v>211</v>
      </c>
      <c r="G12" t="s">
        <v>29</v>
      </c>
      <c r="H12" t="s">
        <v>18</v>
      </c>
    </row>
    <row r="13" spans="1:8" x14ac:dyDescent="0.3">
      <c r="A13">
        <v>2</v>
      </c>
      <c r="B13">
        <v>94</v>
      </c>
      <c r="C13">
        <v>0</v>
      </c>
      <c r="D13">
        <v>102</v>
      </c>
      <c r="E13">
        <v>0</v>
      </c>
      <c r="F13">
        <v>155</v>
      </c>
      <c r="G13" t="s">
        <v>28</v>
      </c>
      <c r="H13" t="s">
        <v>18</v>
      </c>
    </row>
    <row r="14" spans="1:8" x14ac:dyDescent="0.3">
      <c r="A14">
        <v>2</v>
      </c>
      <c r="B14">
        <v>120</v>
      </c>
      <c r="C14">
        <v>0</v>
      </c>
      <c r="D14">
        <v>102</v>
      </c>
      <c r="E14">
        <v>0</v>
      </c>
      <c r="F14">
        <v>3</v>
      </c>
      <c r="G14" t="s">
        <v>25</v>
      </c>
      <c r="H14" t="s">
        <v>18</v>
      </c>
    </row>
    <row r="15" spans="1:8" x14ac:dyDescent="0.3">
      <c r="A15">
        <v>1</v>
      </c>
      <c r="B15">
        <v>121</v>
      </c>
      <c r="C15">
        <v>2</v>
      </c>
      <c r="D15">
        <v>102</v>
      </c>
      <c r="E15">
        <v>2</v>
      </c>
      <c r="F15">
        <v>112</v>
      </c>
      <c r="G15" t="s">
        <v>22</v>
      </c>
      <c r="H15" t="s">
        <v>18</v>
      </c>
    </row>
    <row r="16" spans="1:8" x14ac:dyDescent="0.3">
      <c r="A16">
        <v>2</v>
      </c>
      <c r="B16">
        <v>134</v>
      </c>
      <c r="C16">
        <v>0</v>
      </c>
      <c r="D16">
        <v>102</v>
      </c>
      <c r="E16">
        <v>0</v>
      </c>
      <c r="F16">
        <v>56</v>
      </c>
      <c r="G16" t="s">
        <v>26</v>
      </c>
      <c r="H16" t="s">
        <v>18</v>
      </c>
    </row>
    <row r="17" spans="1:8" x14ac:dyDescent="0.3">
      <c r="A17">
        <v>2</v>
      </c>
      <c r="B17">
        <v>135</v>
      </c>
      <c r="C17">
        <v>0</v>
      </c>
      <c r="D17">
        <v>102</v>
      </c>
      <c r="E17">
        <v>0</v>
      </c>
      <c r="F17">
        <v>62</v>
      </c>
      <c r="G17" t="s">
        <v>27</v>
      </c>
      <c r="H17" t="s">
        <v>18</v>
      </c>
    </row>
    <row r="18" spans="1:8" x14ac:dyDescent="0.3">
      <c r="A18">
        <v>1</v>
      </c>
      <c r="B18">
        <v>145</v>
      </c>
      <c r="C18">
        <v>2</v>
      </c>
      <c r="D18">
        <v>102</v>
      </c>
      <c r="E18">
        <v>2</v>
      </c>
      <c r="F18">
        <v>338</v>
      </c>
      <c r="G18" t="s">
        <v>19</v>
      </c>
      <c r="H18" t="s">
        <v>18</v>
      </c>
    </row>
    <row r="19" spans="1:8" x14ac:dyDescent="0.3">
      <c r="A19">
        <v>2</v>
      </c>
      <c r="B19">
        <v>145</v>
      </c>
      <c r="C19">
        <v>0</v>
      </c>
      <c r="D19">
        <v>102</v>
      </c>
      <c r="E19">
        <v>0</v>
      </c>
      <c r="F19">
        <v>325</v>
      </c>
      <c r="G19" t="s">
        <v>19</v>
      </c>
      <c r="H19" t="s">
        <v>18</v>
      </c>
    </row>
    <row r="20" spans="1:8" x14ac:dyDescent="0.3">
      <c r="A20">
        <v>1</v>
      </c>
      <c r="B20">
        <v>121</v>
      </c>
      <c r="C20">
        <v>2</v>
      </c>
      <c r="D20">
        <v>116</v>
      </c>
      <c r="E20">
        <v>2</v>
      </c>
      <c r="F20">
        <v>32</v>
      </c>
      <c r="G20" t="s">
        <v>22</v>
      </c>
      <c r="H20" t="s">
        <v>34</v>
      </c>
    </row>
    <row r="21" spans="1:8" x14ac:dyDescent="0.3">
      <c r="A21">
        <v>2</v>
      </c>
      <c r="B21">
        <v>93</v>
      </c>
      <c r="C21">
        <v>0</v>
      </c>
      <c r="D21">
        <v>120</v>
      </c>
      <c r="E21">
        <v>0</v>
      </c>
      <c r="F21">
        <v>300</v>
      </c>
      <c r="G21" t="s">
        <v>29</v>
      </c>
      <c r="H21" t="s">
        <v>25</v>
      </c>
    </row>
    <row r="22" spans="1:8" x14ac:dyDescent="0.3">
      <c r="A22">
        <v>2</v>
      </c>
      <c r="B22">
        <v>94</v>
      </c>
      <c r="C22">
        <v>0</v>
      </c>
      <c r="D22">
        <v>120</v>
      </c>
      <c r="E22">
        <v>0</v>
      </c>
      <c r="F22">
        <v>250</v>
      </c>
      <c r="G22" t="s">
        <v>28</v>
      </c>
      <c r="H22" t="s">
        <v>25</v>
      </c>
    </row>
    <row r="23" spans="1:8" x14ac:dyDescent="0.3">
      <c r="A23">
        <v>2</v>
      </c>
      <c r="B23">
        <v>134</v>
      </c>
      <c r="C23">
        <v>0</v>
      </c>
      <c r="D23">
        <v>120</v>
      </c>
      <c r="E23">
        <v>0</v>
      </c>
      <c r="F23">
        <v>50</v>
      </c>
      <c r="G23" t="s">
        <v>26</v>
      </c>
      <c r="H23" t="s">
        <v>25</v>
      </c>
    </row>
    <row r="24" spans="1:8" x14ac:dyDescent="0.3">
      <c r="A24">
        <v>2</v>
      </c>
      <c r="B24">
        <v>135</v>
      </c>
      <c r="C24">
        <v>0</v>
      </c>
      <c r="D24">
        <v>120</v>
      </c>
      <c r="E24">
        <v>0</v>
      </c>
      <c r="F24">
        <v>100</v>
      </c>
      <c r="G24" t="s">
        <v>27</v>
      </c>
      <c r="H24" t="s">
        <v>25</v>
      </c>
    </row>
    <row r="25" spans="1:8" x14ac:dyDescent="0.3">
      <c r="A25">
        <v>2</v>
      </c>
      <c r="B25">
        <v>93</v>
      </c>
      <c r="C25">
        <v>0</v>
      </c>
      <c r="D25">
        <v>134</v>
      </c>
      <c r="E25">
        <v>0</v>
      </c>
      <c r="F25">
        <v>50</v>
      </c>
      <c r="G25" t="s">
        <v>29</v>
      </c>
      <c r="H25" t="s">
        <v>26</v>
      </c>
    </row>
    <row r="26" spans="1:8" x14ac:dyDescent="0.3">
      <c r="A26">
        <v>2</v>
      </c>
      <c r="B26">
        <v>93</v>
      </c>
      <c r="C26">
        <v>0</v>
      </c>
      <c r="D26">
        <v>135</v>
      </c>
      <c r="E26">
        <v>0</v>
      </c>
      <c r="F26">
        <v>50</v>
      </c>
      <c r="G26" t="s">
        <v>29</v>
      </c>
      <c r="H26" t="s">
        <v>27</v>
      </c>
    </row>
    <row r="27" spans="1:8" x14ac:dyDescent="0.3">
      <c r="A27">
        <v>2</v>
      </c>
      <c r="B27">
        <v>134</v>
      </c>
      <c r="C27">
        <v>0</v>
      </c>
      <c r="D27">
        <v>135</v>
      </c>
      <c r="E27">
        <v>0</v>
      </c>
      <c r="F27">
        <v>50</v>
      </c>
      <c r="G27" t="s">
        <v>26</v>
      </c>
      <c r="H27" t="s">
        <v>27</v>
      </c>
    </row>
    <row r="28" spans="1:8" x14ac:dyDescent="0.3">
      <c r="A28">
        <v>1</v>
      </c>
      <c r="B28">
        <v>10</v>
      </c>
      <c r="C28">
        <v>2</v>
      </c>
      <c r="D28">
        <v>145</v>
      </c>
      <c r="E28">
        <v>2</v>
      </c>
      <c r="F28">
        <v>40</v>
      </c>
      <c r="G28" t="s">
        <v>20</v>
      </c>
      <c r="H28" t="s">
        <v>19</v>
      </c>
    </row>
    <row r="29" spans="1:8" x14ac:dyDescent="0.3">
      <c r="A29">
        <v>1</v>
      </c>
      <c r="B29">
        <v>23</v>
      </c>
      <c r="C29">
        <v>2</v>
      </c>
      <c r="D29">
        <v>145</v>
      </c>
      <c r="E29">
        <v>2</v>
      </c>
      <c r="F29">
        <v>410</v>
      </c>
      <c r="G29" t="s">
        <v>21</v>
      </c>
      <c r="H29" t="s">
        <v>19</v>
      </c>
    </row>
    <row r="30" spans="1:8" x14ac:dyDescent="0.3">
      <c r="A30">
        <v>1</v>
      </c>
      <c r="B30">
        <v>62</v>
      </c>
      <c r="C30">
        <v>2</v>
      </c>
      <c r="D30">
        <v>145</v>
      </c>
      <c r="E30">
        <v>2</v>
      </c>
      <c r="F30">
        <v>200</v>
      </c>
      <c r="G30" t="s">
        <v>23</v>
      </c>
      <c r="H30" t="s">
        <v>19</v>
      </c>
    </row>
    <row r="31" spans="1:8" x14ac:dyDescent="0.3">
      <c r="A31">
        <v>1</v>
      </c>
      <c r="B31">
        <v>63</v>
      </c>
      <c r="C31">
        <v>2</v>
      </c>
      <c r="D31">
        <v>145</v>
      </c>
      <c r="E31">
        <v>2</v>
      </c>
      <c r="F31">
        <v>1200</v>
      </c>
      <c r="G31" t="s">
        <v>33</v>
      </c>
      <c r="H31" t="s">
        <v>19</v>
      </c>
    </row>
    <row r="32" spans="1:8" x14ac:dyDescent="0.3">
      <c r="A32">
        <v>1</v>
      </c>
      <c r="B32">
        <v>88</v>
      </c>
      <c r="C32">
        <v>2</v>
      </c>
      <c r="D32">
        <v>145</v>
      </c>
      <c r="E32">
        <v>2</v>
      </c>
      <c r="F32">
        <v>435</v>
      </c>
      <c r="G32" t="s">
        <v>24</v>
      </c>
      <c r="H32" t="s">
        <v>19</v>
      </c>
    </row>
    <row r="33" spans="1:8" x14ac:dyDescent="0.3">
      <c r="A33">
        <v>2</v>
      </c>
      <c r="B33">
        <v>93</v>
      </c>
      <c r="C33">
        <v>0</v>
      </c>
      <c r="D33">
        <v>145</v>
      </c>
      <c r="E33">
        <v>0</v>
      </c>
      <c r="F33">
        <v>930</v>
      </c>
      <c r="G33" t="s">
        <v>29</v>
      </c>
      <c r="H33" t="s">
        <v>19</v>
      </c>
    </row>
    <row r="34" spans="1:8" x14ac:dyDescent="0.3">
      <c r="A34">
        <v>2</v>
      </c>
      <c r="B34">
        <v>94</v>
      </c>
      <c r="C34">
        <v>0</v>
      </c>
      <c r="D34">
        <v>145</v>
      </c>
      <c r="E34">
        <v>0</v>
      </c>
      <c r="F34">
        <v>775</v>
      </c>
      <c r="G34" t="s">
        <v>28</v>
      </c>
      <c r="H34" t="s">
        <v>19</v>
      </c>
    </row>
    <row r="35" spans="1:8" x14ac:dyDescent="0.3">
      <c r="A35">
        <v>2</v>
      </c>
      <c r="B35">
        <v>120</v>
      </c>
      <c r="C35">
        <v>0</v>
      </c>
      <c r="D35">
        <v>145</v>
      </c>
      <c r="E35">
        <v>0</v>
      </c>
      <c r="F35">
        <v>15</v>
      </c>
      <c r="G35" t="s">
        <v>25</v>
      </c>
      <c r="H35" t="s">
        <v>19</v>
      </c>
    </row>
    <row r="36" spans="1:8" x14ac:dyDescent="0.3">
      <c r="A36">
        <v>2</v>
      </c>
      <c r="B36">
        <v>134</v>
      </c>
      <c r="C36">
        <v>0</v>
      </c>
      <c r="D36">
        <v>145</v>
      </c>
      <c r="E36">
        <v>0</v>
      </c>
      <c r="F36">
        <v>155</v>
      </c>
      <c r="G36" t="s">
        <v>26</v>
      </c>
      <c r="H36" t="s">
        <v>19</v>
      </c>
    </row>
    <row r="37" spans="1:8" x14ac:dyDescent="0.3">
      <c r="A37">
        <v>2</v>
      </c>
      <c r="B37">
        <v>135</v>
      </c>
      <c r="C37">
        <v>0</v>
      </c>
      <c r="D37">
        <v>145</v>
      </c>
      <c r="E37">
        <v>0</v>
      </c>
      <c r="F37">
        <v>310</v>
      </c>
      <c r="G37" t="s">
        <v>27</v>
      </c>
      <c r="H37" t="s">
        <v>19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I18"/>
  <sheetViews>
    <sheetView showGridLines="0" workbookViewId="0"/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19.875" bestFit="1" customWidth="1"/>
    <col min="5" max="5" width="24.875" bestFit="1" customWidth="1"/>
    <col min="6" max="6" width="23.5" bestFit="1" customWidth="1"/>
    <col min="7" max="7" width="26.125" bestFit="1" customWidth="1"/>
    <col min="8" max="8" width="25.375" bestFit="1" customWidth="1"/>
    <col min="9" max="9" width="18.625" bestFit="1" customWidth="1"/>
  </cols>
  <sheetData>
    <row r="1" spans="1:9" x14ac:dyDescent="0.3">
      <c r="A1" t="s">
        <v>59</v>
      </c>
      <c r="B1" t="s">
        <v>35</v>
      </c>
      <c r="C1" t="s">
        <v>36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128</v>
      </c>
    </row>
    <row r="2" spans="1:9" x14ac:dyDescent="0.3">
      <c r="A2">
        <v>1</v>
      </c>
      <c r="B2">
        <v>10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  <c r="I2" t="s">
        <v>20</v>
      </c>
    </row>
    <row r="3" spans="1:9" x14ac:dyDescent="0.3">
      <c r="A3">
        <v>1</v>
      </c>
      <c r="B3">
        <v>23</v>
      </c>
      <c r="C3">
        <v>2</v>
      </c>
      <c r="D3">
        <v>370</v>
      </c>
      <c r="E3">
        <v>0</v>
      </c>
      <c r="F3">
        <v>370</v>
      </c>
      <c r="G3">
        <v>40</v>
      </c>
      <c r="H3">
        <v>410</v>
      </c>
      <c r="I3" t="s">
        <v>21</v>
      </c>
    </row>
    <row r="4" spans="1:9" x14ac:dyDescent="0.3">
      <c r="A4">
        <v>1</v>
      </c>
      <c r="B4">
        <v>62</v>
      </c>
      <c r="C4">
        <v>2</v>
      </c>
      <c r="D4">
        <v>-500</v>
      </c>
      <c r="E4">
        <v>500</v>
      </c>
      <c r="F4">
        <v>0</v>
      </c>
      <c r="G4">
        <v>600</v>
      </c>
      <c r="H4">
        <v>100</v>
      </c>
      <c r="I4" t="s">
        <v>23</v>
      </c>
    </row>
    <row r="5" spans="1:9" x14ac:dyDescent="0.3">
      <c r="A5">
        <v>1</v>
      </c>
      <c r="B5">
        <v>63</v>
      </c>
      <c r="C5">
        <v>2</v>
      </c>
      <c r="D5">
        <v>3</v>
      </c>
      <c r="E5">
        <v>0</v>
      </c>
      <c r="F5">
        <v>3</v>
      </c>
      <c r="G5">
        <v>0</v>
      </c>
      <c r="H5">
        <v>3</v>
      </c>
      <c r="I5" t="s">
        <v>33</v>
      </c>
    </row>
    <row r="6" spans="1:9" x14ac:dyDescent="0.3">
      <c r="A6">
        <v>1</v>
      </c>
      <c r="B6">
        <v>69</v>
      </c>
      <c r="C6">
        <v>2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3">
      <c r="A7">
        <v>1</v>
      </c>
      <c r="B7">
        <v>88</v>
      </c>
      <c r="C7">
        <v>2</v>
      </c>
      <c r="D7">
        <v>-15</v>
      </c>
      <c r="E7">
        <v>15</v>
      </c>
      <c r="F7">
        <v>0</v>
      </c>
      <c r="G7">
        <v>450</v>
      </c>
      <c r="H7">
        <v>435</v>
      </c>
      <c r="I7" t="s">
        <v>24</v>
      </c>
    </row>
    <row r="8" spans="1:9" x14ac:dyDescent="0.3">
      <c r="A8">
        <v>2</v>
      </c>
      <c r="B8">
        <v>93</v>
      </c>
      <c r="C8">
        <v>0</v>
      </c>
      <c r="D8">
        <v>50</v>
      </c>
      <c r="E8">
        <v>0</v>
      </c>
      <c r="F8">
        <v>50</v>
      </c>
      <c r="G8">
        <v>0</v>
      </c>
      <c r="H8">
        <v>50</v>
      </c>
      <c r="I8" t="s">
        <v>29</v>
      </c>
    </row>
    <row r="9" spans="1:9" x14ac:dyDescent="0.3">
      <c r="A9">
        <v>2</v>
      </c>
      <c r="B9">
        <v>94</v>
      </c>
      <c r="C9">
        <v>0</v>
      </c>
      <c r="D9">
        <v>0</v>
      </c>
      <c r="E9">
        <v>0</v>
      </c>
      <c r="F9">
        <v>0</v>
      </c>
      <c r="G9">
        <v>250</v>
      </c>
      <c r="H9">
        <v>250</v>
      </c>
      <c r="I9" t="s">
        <v>28</v>
      </c>
    </row>
    <row r="10" spans="1:9" x14ac:dyDescent="0.3">
      <c r="A10">
        <v>1</v>
      </c>
      <c r="B10">
        <v>102</v>
      </c>
      <c r="C10">
        <v>2</v>
      </c>
      <c r="D10">
        <v>-26764</v>
      </c>
      <c r="E10">
        <v>26764</v>
      </c>
      <c r="F10">
        <v>0</v>
      </c>
      <c r="G10">
        <v>74817</v>
      </c>
      <c r="H10">
        <v>48053</v>
      </c>
      <c r="I10" t="s">
        <v>18</v>
      </c>
    </row>
    <row r="11" spans="1:9" x14ac:dyDescent="0.3">
      <c r="A11">
        <v>2</v>
      </c>
      <c r="B11">
        <v>102</v>
      </c>
      <c r="C11">
        <v>0</v>
      </c>
      <c r="D11">
        <v>1754</v>
      </c>
      <c r="E11">
        <v>0</v>
      </c>
      <c r="F11">
        <v>1754</v>
      </c>
      <c r="G11">
        <v>812</v>
      </c>
      <c r="H11">
        <v>2566</v>
      </c>
      <c r="I11" t="s">
        <v>18</v>
      </c>
    </row>
    <row r="12" spans="1:9" x14ac:dyDescent="0.3">
      <c r="A12">
        <v>1</v>
      </c>
      <c r="B12">
        <v>116</v>
      </c>
      <c r="C12">
        <v>2</v>
      </c>
      <c r="D12">
        <v>-32</v>
      </c>
      <c r="E12">
        <v>32</v>
      </c>
      <c r="F12">
        <v>0</v>
      </c>
      <c r="G12">
        <v>32</v>
      </c>
      <c r="H12">
        <v>0</v>
      </c>
      <c r="I12" t="s">
        <v>34</v>
      </c>
    </row>
    <row r="13" spans="1:9" x14ac:dyDescent="0.3">
      <c r="A13">
        <v>2</v>
      </c>
      <c r="B13">
        <v>120</v>
      </c>
      <c r="C13">
        <v>0</v>
      </c>
      <c r="D13">
        <v>-550</v>
      </c>
      <c r="E13">
        <v>550</v>
      </c>
      <c r="F13">
        <v>0</v>
      </c>
      <c r="G13">
        <v>700</v>
      </c>
      <c r="H13">
        <v>150</v>
      </c>
      <c r="I13" t="s">
        <v>25</v>
      </c>
    </row>
    <row r="14" spans="1:9" x14ac:dyDescent="0.3">
      <c r="A14">
        <v>1</v>
      </c>
      <c r="B14">
        <v>121</v>
      </c>
      <c r="C14">
        <v>2</v>
      </c>
      <c r="D14">
        <v>16</v>
      </c>
      <c r="E14">
        <v>0</v>
      </c>
      <c r="F14">
        <v>16</v>
      </c>
      <c r="G14">
        <v>0</v>
      </c>
      <c r="H14">
        <v>16</v>
      </c>
      <c r="I14" t="s">
        <v>22</v>
      </c>
    </row>
    <row r="15" spans="1:9" x14ac:dyDescent="0.3">
      <c r="A15">
        <v>2</v>
      </c>
      <c r="B15">
        <v>134</v>
      </c>
      <c r="C15">
        <v>0</v>
      </c>
      <c r="D15">
        <v>0</v>
      </c>
      <c r="E15">
        <v>0</v>
      </c>
      <c r="F15">
        <v>0</v>
      </c>
      <c r="G15">
        <v>50</v>
      </c>
      <c r="H15">
        <v>50</v>
      </c>
      <c r="I15" t="s">
        <v>26</v>
      </c>
    </row>
    <row r="16" spans="1:9" x14ac:dyDescent="0.3">
      <c r="A16">
        <v>2</v>
      </c>
      <c r="B16">
        <v>135</v>
      </c>
      <c r="C16">
        <v>0</v>
      </c>
      <c r="D16">
        <v>0</v>
      </c>
      <c r="E16">
        <v>0</v>
      </c>
      <c r="F16">
        <v>0</v>
      </c>
      <c r="G16">
        <v>100</v>
      </c>
      <c r="H16">
        <v>100</v>
      </c>
      <c r="I16" t="s">
        <v>27</v>
      </c>
    </row>
    <row r="17" spans="1:9" x14ac:dyDescent="0.3">
      <c r="A17">
        <v>1</v>
      </c>
      <c r="B17">
        <v>145</v>
      </c>
      <c r="C17">
        <v>2</v>
      </c>
      <c r="D17">
        <v>-595</v>
      </c>
      <c r="E17">
        <v>595</v>
      </c>
      <c r="F17">
        <v>0</v>
      </c>
      <c r="G17">
        <v>2285</v>
      </c>
      <c r="H17">
        <v>1690</v>
      </c>
      <c r="I17" t="s">
        <v>19</v>
      </c>
    </row>
    <row r="18" spans="1:9" x14ac:dyDescent="0.3">
      <c r="A18">
        <v>2</v>
      </c>
      <c r="B18">
        <v>145</v>
      </c>
      <c r="C18">
        <v>0</v>
      </c>
      <c r="D18">
        <v>-560</v>
      </c>
      <c r="E18">
        <v>560</v>
      </c>
      <c r="F18">
        <v>0</v>
      </c>
      <c r="G18">
        <v>2185</v>
      </c>
      <c r="H18">
        <v>1625</v>
      </c>
      <c r="I18" t="s">
        <v>19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I16"/>
  <sheetViews>
    <sheetView showGridLines="0" workbookViewId="0">
      <selection activeCell="G27" sqref="G27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9.625" bestFit="1" customWidth="1"/>
    <col min="5" max="5" width="13.625" bestFit="1" customWidth="1"/>
    <col min="6" max="6" width="10.875" bestFit="1" customWidth="1"/>
    <col min="7" max="7" width="25" bestFit="1" customWidth="1"/>
    <col min="8" max="8" width="15.75" bestFit="1" customWidth="1"/>
    <col min="9" max="9" width="15.625" bestFit="1" customWidth="1"/>
  </cols>
  <sheetData>
    <row r="1" spans="1:9" x14ac:dyDescent="0.3">
      <c r="A1" t="s">
        <v>59</v>
      </c>
      <c r="B1" t="s">
        <v>35</v>
      </c>
      <c r="C1" t="s">
        <v>36</v>
      </c>
      <c r="D1" t="s">
        <v>72</v>
      </c>
      <c r="E1" t="s">
        <v>70</v>
      </c>
      <c r="F1" t="s">
        <v>71</v>
      </c>
      <c r="G1" t="s">
        <v>69</v>
      </c>
      <c r="H1" t="s">
        <v>128</v>
      </c>
      <c r="I1" t="s">
        <v>266</v>
      </c>
    </row>
    <row r="2" spans="1:9" x14ac:dyDescent="0.3">
      <c r="A2">
        <v>1</v>
      </c>
      <c r="B2">
        <v>10</v>
      </c>
      <c r="C2">
        <v>2</v>
      </c>
      <c r="D2">
        <v>1</v>
      </c>
      <c r="E2">
        <v>2</v>
      </c>
      <c r="F2" t="s">
        <v>73</v>
      </c>
      <c r="G2">
        <v>10</v>
      </c>
      <c r="H2" t="s">
        <v>20</v>
      </c>
      <c r="I2" t="s">
        <v>30</v>
      </c>
    </row>
    <row r="3" spans="1:9" x14ac:dyDescent="0.3">
      <c r="A3">
        <v>1</v>
      </c>
      <c r="B3">
        <v>23</v>
      </c>
      <c r="C3">
        <v>2</v>
      </c>
      <c r="D3">
        <v>1</v>
      </c>
      <c r="E3">
        <v>2</v>
      </c>
      <c r="F3" t="s">
        <v>73</v>
      </c>
      <c r="G3">
        <v>370</v>
      </c>
      <c r="H3" t="s">
        <v>21</v>
      </c>
      <c r="I3" t="s">
        <v>30</v>
      </c>
    </row>
    <row r="4" spans="1:9" x14ac:dyDescent="0.3">
      <c r="A4">
        <v>1</v>
      </c>
      <c r="B4">
        <v>62</v>
      </c>
      <c r="C4">
        <v>2</v>
      </c>
      <c r="D4">
        <v>1</v>
      </c>
      <c r="E4">
        <v>2</v>
      </c>
      <c r="F4" t="s">
        <v>74</v>
      </c>
      <c r="G4">
        <v>500</v>
      </c>
      <c r="H4" t="s">
        <v>23</v>
      </c>
      <c r="I4" t="s">
        <v>30</v>
      </c>
    </row>
    <row r="5" spans="1:9" x14ac:dyDescent="0.3">
      <c r="A5">
        <v>1</v>
      </c>
      <c r="B5">
        <v>63</v>
      </c>
      <c r="C5">
        <v>2</v>
      </c>
      <c r="D5">
        <v>1</v>
      </c>
      <c r="E5">
        <v>2</v>
      </c>
      <c r="F5" t="s">
        <v>73</v>
      </c>
      <c r="G5">
        <v>3</v>
      </c>
      <c r="H5" t="s">
        <v>33</v>
      </c>
      <c r="I5" t="s">
        <v>30</v>
      </c>
    </row>
    <row r="6" spans="1:9" x14ac:dyDescent="0.3">
      <c r="A6">
        <v>1</v>
      </c>
      <c r="B6">
        <v>88</v>
      </c>
      <c r="C6">
        <v>2</v>
      </c>
      <c r="D6">
        <v>1</v>
      </c>
      <c r="E6">
        <v>2</v>
      </c>
      <c r="F6" t="s">
        <v>74</v>
      </c>
      <c r="G6">
        <v>15</v>
      </c>
      <c r="H6" t="s">
        <v>24</v>
      </c>
      <c r="I6" t="s">
        <v>30</v>
      </c>
    </row>
    <row r="7" spans="1:9" x14ac:dyDescent="0.3">
      <c r="A7">
        <v>2</v>
      </c>
      <c r="B7">
        <v>93</v>
      </c>
      <c r="C7">
        <v>0</v>
      </c>
      <c r="D7">
        <v>1</v>
      </c>
      <c r="E7">
        <v>3</v>
      </c>
      <c r="F7" t="s">
        <v>73</v>
      </c>
      <c r="G7">
        <v>8.2502999999999993</v>
      </c>
      <c r="H7" t="s">
        <v>29</v>
      </c>
      <c r="I7" t="s">
        <v>32</v>
      </c>
    </row>
    <row r="8" spans="1:9" x14ac:dyDescent="0.3">
      <c r="A8">
        <v>2</v>
      </c>
      <c r="B8">
        <v>93</v>
      </c>
      <c r="C8">
        <v>0</v>
      </c>
      <c r="D8">
        <v>2</v>
      </c>
      <c r="E8">
        <v>2</v>
      </c>
      <c r="F8" t="s">
        <v>73</v>
      </c>
      <c r="G8">
        <v>41.749700000000004</v>
      </c>
      <c r="H8" t="s">
        <v>29</v>
      </c>
      <c r="I8" t="s">
        <v>30</v>
      </c>
    </row>
    <row r="9" spans="1:9" x14ac:dyDescent="0.3">
      <c r="A9">
        <v>1</v>
      </c>
      <c r="B9">
        <v>102</v>
      </c>
      <c r="C9">
        <v>2</v>
      </c>
      <c r="D9">
        <v>1</v>
      </c>
      <c r="E9">
        <v>2</v>
      </c>
      <c r="F9" t="s">
        <v>74</v>
      </c>
      <c r="G9">
        <v>20833.333333333332</v>
      </c>
      <c r="H9" t="s">
        <v>18</v>
      </c>
      <c r="I9" t="s">
        <v>30</v>
      </c>
    </row>
    <row r="10" spans="1:9" x14ac:dyDescent="0.3">
      <c r="A10">
        <v>1</v>
      </c>
      <c r="B10">
        <v>102</v>
      </c>
      <c r="C10">
        <v>2</v>
      </c>
      <c r="D10">
        <v>2</v>
      </c>
      <c r="E10">
        <v>1</v>
      </c>
      <c r="F10" t="s">
        <v>74</v>
      </c>
      <c r="G10">
        <v>5930.6666666666679</v>
      </c>
      <c r="H10" t="s">
        <v>18</v>
      </c>
      <c r="I10" t="s">
        <v>54</v>
      </c>
    </row>
    <row r="11" spans="1:9" x14ac:dyDescent="0.3">
      <c r="A11">
        <v>2</v>
      </c>
      <c r="B11">
        <v>102</v>
      </c>
      <c r="C11">
        <v>0</v>
      </c>
      <c r="D11">
        <v>1</v>
      </c>
      <c r="E11">
        <v>2</v>
      </c>
      <c r="F11" t="s">
        <v>73</v>
      </c>
      <c r="G11">
        <v>1754</v>
      </c>
      <c r="H11" t="s">
        <v>18</v>
      </c>
      <c r="I11" t="s">
        <v>30</v>
      </c>
    </row>
    <row r="12" spans="1:9" x14ac:dyDescent="0.3">
      <c r="A12">
        <v>1</v>
      </c>
      <c r="B12">
        <v>116</v>
      </c>
      <c r="C12">
        <v>2</v>
      </c>
      <c r="D12">
        <v>1</v>
      </c>
      <c r="E12">
        <v>2</v>
      </c>
      <c r="F12" t="s">
        <v>74</v>
      </c>
      <c r="G12">
        <v>32</v>
      </c>
      <c r="H12" t="s">
        <v>34</v>
      </c>
      <c r="I12" t="s">
        <v>30</v>
      </c>
    </row>
    <row r="13" spans="1:9" x14ac:dyDescent="0.3">
      <c r="A13">
        <v>2</v>
      </c>
      <c r="B13">
        <v>120</v>
      </c>
      <c r="C13">
        <v>0</v>
      </c>
      <c r="D13">
        <v>1</v>
      </c>
      <c r="E13">
        <v>2</v>
      </c>
      <c r="F13" t="s">
        <v>74</v>
      </c>
      <c r="G13">
        <v>550</v>
      </c>
      <c r="H13" t="s">
        <v>25</v>
      </c>
      <c r="I13" t="s">
        <v>30</v>
      </c>
    </row>
    <row r="14" spans="1:9" x14ac:dyDescent="0.3">
      <c r="A14">
        <v>1</v>
      </c>
      <c r="B14">
        <v>121</v>
      </c>
      <c r="C14">
        <v>2</v>
      </c>
      <c r="D14">
        <v>1</v>
      </c>
      <c r="E14">
        <v>2</v>
      </c>
      <c r="F14" t="s">
        <v>73</v>
      </c>
      <c r="G14">
        <v>16</v>
      </c>
      <c r="H14" t="s">
        <v>22</v>
      </c>
      <c r="I14" t="s">
        <v>30</v>
      </c>
    </row>
    <row r="15" spans="1:9" x14ac:dyDescent="0.3">
      <c r="A15">
        <v>1</v>
      </c>
      <c r="B15">
        <v>145</v>
      </c>
      <c r="C15">
        <v>2</v>
      </c>
      <c r="D15">
        <v>1</v>
      </c>
      <c r="E15">
        <v>2</v>
      </c>
      <c r="F15" t="s">
        <v>74</v>
      </c>
      <c r="G15">
        <v>595</v>
      </c>
      <c r="H15" t="s">
        <v>19</v>
      </c>
      <c r="I15" t="s">
        <v>30</v>
      </c>
    </row>
    <row r="16" spans="1:9" x14ac:dyDescent="0.3">
      <c r="A16">
        <v>2</v>
      </c>
      <c r="B16">
        <v>145</v>
      </c>
      <c r="C16">
        <v>0</v>
      </c>
      <c r="D16">
        <v>1</v>
      </c>
      <c r="E16">
        <v>2</v>
      </c>
      <c r="F16" t="s">
        <v>74</v>
      </c>
      <c r="G16">
        <v>560</v>
      </c>
      <c r="H16" t="s">
        <v>19</v>
      </c>
      <c r="I16" t="s">
        <v>30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H14"/>
  <sheetViews>
    <sheetView showGridLines="0" workbookViewId="0">
      <selection activeCell="G5" sqref="G5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1.125" bestFit="1" customWidth="1"/>
    <col min="5" max="5" width="21.5" bestFit="1" customWidth="1"/>
    <col min="6" max="6" width="25.75" bestFit="1" customWidth="1"/>
    <col min="7" max="7" width="16.875" bestFit="1" customWidth="1"/>
    <col min="8" max="8" width="15.75" bestFit="1" customWidth="1"/>
  </cols>
  <sheetData>
    <row r="1" spans="1:8" x14ac:dyDescent="0.3">
      <c r="A1" t="s">
        <v>59</v>
      </c>
      <c r="B1" t="s">
        <v>35</v>
      </c>
      <c r="C1" t="s">
        <v>36</v>
      </c>
      <c r="D1" t="s">
        <v>63</v>
      </c>
      <c r="E1" t="s">
        <v>62</v>
      </c>
      <c r="F1" t="s">
        <v>61</v>
      </c>
      <c r="G1" t="s">
        <v>60</v>
      </c>
      <c r="H1" t="s">
        <v>128</v>
      </c>
    </row>
    <row r="2" spans="1:8" x14ac:dyDescent="0.3">
      <c r="A2">
        <v>1</v>
      </c>
      <c r="B2">
        <v>10</v>
      </c>
      <c r="C2">
        <v>2</v>
      </c>
      <c r="D2">
        <v>10</v>
      </c>
      <c r="E2">
        <v>0</v>
      </c>
      <c r="F2">
        <v>10</v>
      </c>
      <c r="G2" t="b">
        <v>0</v>
      </c>
      <c r="H2" t="s">
        <v>20</v>
      </c>
    </row>
    <row r="3" spans="1:8" x14ac:dyDescent="0.3">
      <c r="A3">
        <v>1</v>
      </c>
      <c r="B3">
        <v>23</v>
      </c>
      <c r="C3">
        <v>2</v>
      </c>
      <c r="D3">
        <v>370</v>
      </c>
      <c r="E3">
        <v>0</v>
      </c>
      <c r="F3">
        <v>370</v>
      </c>
      <c r="G3" t="b">
        <v>0</v>
      </c>
      <c r="H3" t="s">
        <v>21</v>
      </c>
    </row>
    <row r="4" spans="1:8" x14ac:dyDescent="0.3">
      <c r="A4">
        <v>1</v>
      </c>
      <c r="B4">
        <v>62</v>
      </c>
      <c r="C4">
        <v>2</v>
      </c>
      <c r="D4">
        <v>500</v>
      </c>
      <c r="E4">
        <v>0</v>
      </c>
      <c r="F4">
        <v>500</v>
      </c>
      <c r="G4" t="b">
        <v>0</v>
      </c>
      <c r="H4" t="s">
        <v>23</v>
      </c>
    </row>
    <row r="5" spans="1:8" x14ac:dyDescent="0.3">
      <c r="A5">
        <v>1</v>
      </c>
      <c r="B5">
        <v>63</v>
      </c>
      <c r="C5">
        <v>2</v>
      </c>
      <c r="D5">
        <v>3</v>
      </c>
      <c r="E5">
        <v>0</v>
      </c>
      <c r="F5">
        <v>3</v>
      </c>
      <c r="G5" t="b">
        <v>0</v>
      </c>
      <c r="H5" t="s">
        <v>33</v>
      </c>
    </row>
    <row r="6" spans="1:8" x14ac:dyDescent="0.3">
      <c r="A6">
        <v>1</v>
      </c>
      <c r="B6">
        <v>88</v>
      </c>
      <c r="C6">
        <v>2</v>
      </c>
      <c r="D6">
        <v>15</v>
      </c>
      <c r="E6">
        <v>0</v>
      </c>
      <c r="F6">
        <v>15</v>
      </c>
      <c r="G6" t="b">
        <v>0</v>
      </c>
      <c r="H6" t="s">
        <v>24</v>
      </c>
    </row>
    <row r="7" spans="1:8" x14ac:dyDescent="0.3">
      <c r="A7">
        <v>2</v>
      </c>
      <c r="B7">
        <v>93</v>
      </c>
      <c r="C7">
        <v>0</v>
      </c>
      <c r="D7">
        <v>50</v>
      </c>
      <c r="E7">
        <v>8.2502999999999993</v>
      </c>
      <c r="F7">
        <v>41.749700000000004</v>
      </c>
      <c r="G7" t="b">
        <v>1</v>
      </c>
      <c r="H7" t="s">
        <v>29</v>
      </c>
    </row>
    <row r="8" spans="1:8" x14ac:dyDescent="0.3">
      <c r="A8">
        <v>1</v>
      </c>
      <c r="B8">
        <v>102</v>
      </c>
      <c r="C8">
        <v>2</v>
      </c>
      <c r="D8">
        <v>26764</v>
      </c>
      <c r="E8">
        <v>0</v>
      </c>
      <c r="F8">
        <v>26764</v>
      </c>
      <c r="G8" t="b">
        <v>0</v>
      </c>
      <c r="H8" t="s">
        <v>18</v>
      </c>
    </row>
    <row r="9" spans="1:8" x14ac:dyDescent="0.3">
      <c r="A9">
        <v>2</v>
      </c>
      <c r="B9">
        <v>102</v>
      </c>
      <c r="C9">
        <v>0</v>
      </c>
      <c r="D9">
        <v>1754</v>
      </c>
      <c r="E9">
        <v>0</v>
      </c>
      <c r="F9">
        <v>1754</v>
      </c>
      <c r="G9" t="b">
        <v>0</v>
      </c>
      <c r="H9" t="s">
        <v>18</v>
      </c>
    </row>
    <row r="10" spans="1:8" x14ac:dyDescent="0.3">
      <c r="A10">
        <v>1</v>
      </c>
      <c r="B10">
        <v>116</v>
      </c>
      <c r="C10">
        <v>2</v>
      </c>
      <c r="D10">
        <v>32</v>
      </c>
      <c r="E10">
        <v>0</v>
      </c>
      <c r="F10">
        <v>32</v>
      </c>
      <c r="G10" t="b">
        <v>0</v>
      </c>
      <c r="H10" t="s">
        <v>34</v>
      </c>
    </row>
    <row r="11" spans="1:8" x14ac:dyDescent="0.3">
      <c r="A11">
        <v>2</v>
      </c>
      <c r="B11">
        <v>120</v>
      </c>
      <c r="C11">
        <v>0</v>
      </c>
      <c r="D11">
        <v>550</v>
      </c>
      <c r="E11">
        <v>0</v>
      </c>
      <c r="F11">
        <v>550</v>
      </c>
      <c r="G11" t="b">
        <v>0</v>
      </c>
      <c r="H11" t="s">
        <v>25</v>
      </c>
    </row>
    <row r="12" spans="1:8" x14ac:dyDescent="0.3">
      <c r="A12">
        <v>1</v>
      </c>
      <c r="B12">
        <v>121</v>
      </c>
      <c r="C12">
        <v>2</v>
      </c>
      <c r="D12">
        <v>16</v>
      </c>
      <c r="E12">
        <v>0</v>
      </c>
      <c r="F12">
        <v>16</v>
      </c>
      <c r="G12" t="b">
        <v>0</v>
      </c>
      <c r="H12" t="s">
        <v>22</v>
      </c>
    </row>
    <row r="13" spans="1:8" x14ac:dyDescent="0.3">
      <c r="A13">
        <v>1</v>
      </c>
      <c r="B13">
        <v>145</v>
      </c>
      <c r="C13">
        <v>2</v>
      </c>
      <c r="D13">
        <v>595</v>
      </c>
      <c r="E13">
        <v>0</v>
      </c>
      <c r="F13">
        <v>595</v>
      </c>
      <c r="G13" t="b">
        <v>0</v>
      </c>
      <c r="H13" t="s">
        <v>19</v>
      </c>
    </row>
    <row r="14" spans="1:8" x14ac:dyDescent="0.3">
      <c r="A14">
        <v>2</v>
      </c>
      <c r="B14">
        <v>145</v>
      </c>
      <c r="C14">
        <v>0</v>
      </c>
      <c r="D14">
        <v>560</v>
      </c>
      <c r="E14">
        <v>0</v>
      </c>
      <c r="F14">
        <v>560</v>
      </c>
      <c r="G14" t="b">
        <v>0</v>
      </c>
      <c r="H14" t="s">
        <v>19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5A53-0F1D-4AE6-94E9-1E7029B3FF7A}">
  <dimension ref="A1:B55"/>
  <sheetViews>
    <sheetView showGridLines="0" workbookViewId="0">
      <selection activeCell="G21" sqref="G21"/>
    </sheetView>
  </sheetViews>
  <sheetFormatPr defaultRowHeight="16.5" x14ac:dyDescent="0.3"/>
  <cols>
    <col min="1" max="1" width="13.625" customWidth="1"/>
    <col min="2" max="2" width="15.5" customWidth="1"/>
  </cols>
  <sheetData>
    <row r="1" spans="1:2" x14ac:dyDescent="0.3">
      <c r="A1" t="s">
        <v>81</v>
      </c>
      <c r="B1" t="s">
        <v>82</v>
      </c>
    </row>
    <row r="2" spans="1:2" x14ac:dyDescent="0.3">
      <c r="A2">
        <v>1</v>
      </c>
      <c r="B2" t="s">
        <v>83</v>
      </c>
    </row>
    <row r="3" spans="1:2" x14ac:dyDescent="0.3">
      <c r="A3">
        <v>2</v>
      </c>
      <c r="B3" t="s">
        <v>84</v>
      </c>
    </row>
    <row r="4" spans="1:2" x14ac:dyDescent="0.3">
      <c r="A4">
        <v>3</v>
      </c>
      <c r="B4" t="s">
        <v>85</v>
      </c>
    </row>
    <row r="5" spans="1:2" x14ac:dyDescent="0.3">
      <c r="A5">
        <v>4</v>
      </c>
      <c r="B5" t="s">
        <v>86</v>
      </c>
    </row>
    <row r="6" spans="1:2" x14ac:dyDescent="0.3">
      <c r="A6">
        <v>5</v>
      </c>
      <c r="B6" t="s">
        <v>87</v>
      </c>
    </row>
    <row r="7" spans="1:2" x14ac:dyDescent="0.3">
      <c r="A7">
        <v>6</v>
      </c>
      <c r="B7" t="s">
        <v>88</v>
      </c>
    </row>
    <row r="8" spans="1:2" x14ac:dyDescent="0.3">
      <c r="A8">
        <v>7</v>
      </c>
      <c r="B8" t="s">
        <v>89</v>
      </c>
    </row>
    <row r="9" spans="1:2" x14ac:dyDescent="0.3">
      <c r="A9">
        <v>8</v>
      </c>
      <c r="B9" t="s">
        <v>16</v>
      </c>
    </row>
    <row r="10" spans="1:2" x14ac:dyDescent="0.3">
      <c r="A10">
        <v>9</v>
      </c>
      <c r="B10" t="s">
        <v>90</v>
      </c>
    </row>
    <row r="11" spans="1:2" x14ac:dyDescent="0.3">
      <c r="A11">
        <v>10</v>
      </c>
      <c r="B11" t="s">
        <v>91</v>
      </c>
    </row>
    <row r="12" spans="1:2" x14ac:dyDescent="0.3">
      <c r="A12">
        <v>11</v>
      </c>
      <c r="B12" t="s">
        <v>92</v>
      </c>
    </row>
    <row r="13" spans="1:2" x14ac:dyDescent="0.3">
      <c r="A13">
        <v>12</v>
      </c>
      <c r="B13" t="s">
        <v>93</v>
      </c>
    </row>
    <row r="14" spans="1:2" x14ac:dyDescent="0.3">
      <c r="A14">
        <v>13</v>
      </c>
      <c r="B14" t="s">
        <v>94</v>
      </c>
    </row>
    <row r="15" spans="1:2" x14ac:dyDescent="0.3">
      <c r="A15">
        <v>14</v>
      </c>
      <c r="B15" t="s">
        <v>95</v>
      </c>
    </row>
    <row r="16" spans="1:2" x14ac:dyDescent="0.3">
      <c r="A16">
        <v>15</v>
      </c>
      <c r="B16" t="s">
        <v>96</v>
      </c>
    </row>
    <row r="17" spans="1:2" x14ac:dyDescent="0.3">
      <c r="A17">
        <v>16</v>
      </c>
      <c r="B17" t="s">
        <v>97</v>
      </c>
    </row>
    <row r="18" spans="1:2" x14ac:dyDescent="0.3">
      <c r="A18">
        <v>17</v>
      </c>
      <c r="B18" t="s">
        <v>10</v>
      </c>
    </row>
    <row r="19" spans="1:2" x14ac:dyDescent="0.3">
      <c r="A19">
        <v>18</v>
      </c>
      <c r="B19" t="s">
        <v>98</v>
      </c>
    </row>
    <row r="20" spans="1:2" x14ac:dyDescent="0.3">
      <c r="A20">
        <v>19</v>
      </c>
      <c r="B20" t="s">
        <v>11</v>
      </c>
    </row>
    <row r="21" spans="1:2" x14ac:dyDescent="0.3">
      <c r="A21">
        <v>20</v>
      </c>
      <c r="B21" t="s">
        <v>14</v>
      </c>
    </row>
    <row r="22" spans="1:2" x14ac:dyDescent="0.3">
      <c r="A22">
        <v>21</v>
      </c>
      <c r="B22" t="s">
        <v>99</v>
      </c>
    </row>
    <row r="23" spans="1:2" x14ac:dyDescent="0.3">
      <c r="A23">
        <v>22</v>
      </c>
      <c r="B23" t="s">
        <v>100</v>
      </c>
    </row>
    <row r="24" spans="1:2" x14ac:dyDescent="0.3">
      <c r="A24">
        <v>23</v>
      </c>
      <c r="B24" t="s">
        <v>101</v>
      </c>
    </row>
    <row r="25" spans="1:2" x14ac:dyDescent="0.3">
      <c r="A25">
        <v>24</v>
      </c>
      <c r="B25" t="s">
        <v>15</v>
      </c>
    </row>
    <row r="26" spans="1:2" x14ac:dyDescent="0.3">
      <c r="A26">
        <v>25</v>
      </c>
      <c r="B26" t="s">
        <v>102</v>
      </c>
    </row>
    <row r="27" spans="1:2" x14ac:dyDescent="0.3">
      <c r="A27">
        <v>26</v>
      </c>
      <c r="B27" t="s">
        <v>103</v>
      </c>
    </row>
    <row r="28" spans="1:2" x14ac:dyDescent="0.3">
      <c r="A28">
        <v>27</v>
      </c>
      <c r="B28" t="s">
        <v>104</v>
      </c>
    </row>
    <row r="29" spans="1:2" x14ac:dyDescent="0.3">
      <c r="A29">
        <v>28</v>
      </c>
      <c r="B29" t="s">
        <v>17</v>
      </c>
    </row>
    <row r="30" spans="1:2" x14ac:dyDescent="0.3">
      <c r="A30">
        <v>29</v>
      </c>
      <c r="B30" t="s">
        <v>105</v>
      </c>
    </row>
    <row r="31" spans="1:2" x14ac:dyDescent="0.3">
      <c r="A31">
        <v>30</v>
      </c>
      <c r="B31" t="s">
        <v>106</v>
      </c>
    </row>
    <row r="32" spans="1:2" x14ac:dyDescent="0.3">
      <c r="A32">
        <v>31</v>
      </c>
      <c r="B32" t="s">
        <v>107</v>
      </c>
    </row>
    <row r="33" spans="1:2" x14ac:dyDescent="0.3">
      <c r="A33">
        <v>32</v>
      </c>
      <c r="B33" t="s">
        <v>108</v>
      </c>
    </row>
    <row r="34" spans="1:2" x14ac:dyDescent="0.3">
      <c r="A34">
        <v>33</v>
      </c>
      <c r="B34" t="s">
        <v>109</v>
      </c>
    </row>
    <row r="35" spans="1:2" x14ac:dyDescent="0.3">
      <c r="A35">
        <v>34</v>
      </c>
      <c r="B35" t="s">
        <v>110</v>
      </c>
    </row>
    <row r="36" spans="1:2" x14ac:dyDescent="0.3">
      <c r="A36">
        <v>35</v>
      </c>
      <c r="B36" t="s">
        <v>111</v>
      </c>
    </row>
    <row r="37" spans="1:2" x14ac:dyDescent="0.3">
      <c r="A37">
        <v>36</v>
      </c>
      <c r="B37" t="s">
        <v>12</v>
      </c>
    </row>
    <row r="38" spans="1:2" x14ac:dyDescent="0.3">
      <c r="A38">
        <v>37</v>
      </c>
      <c r="B38" t="s">
        <v>112</v>
      </c>
    </row>
    <row r="39" spans="1:2" x14ac:dyDescent="0.3">
      <c r="A39">
        <v>38</v>
      </c>
      <c r="B39" t="s">
        <v>113</v>
      </c>
    </row>
    <row r="40" spans="1:2" x14ac:dyDescent="0.3">
      <c r="A40">
        <v>39</v>
      </c>
      <c r="B40" t="s">
        <v>114</v>
      </c>
    </row>
    <row r="41" spans="1:2" x14ac:dyDescent="0.3">
      <c r="A41">
        <v>40</v>
      </c>
      <c r="B41" t="s">
        <v>115</v>
      </c>
    </row>
    <row r="42" spans="1:2" x14ac:dyDescent="0.3">
      <c r="A42">
        <v>41</v>
      </c>
      <c r="B42" t="s">
        <v>8</v>
      </c>
    </row>
    <row r="43" spans="1:2" x14ac:dyDescent="0.3">
      <c r="A43">
        <v>42</v>
      </c>
      <c r="B43" t="s">
        <v>116</v>
      </c>
    </row>
    <row r="44" spans="1:2" x14ac:dyDescent="0.3">
      <c r="A44">
        <v>43</v>
      </c>
      <c r="B44" t="s">
        <v>117</v>
      </c>
    </row>
    <row r="45" spans="1:2" x14ac:dyDescent="0.3">
      <c r="A45">
        <v>44</v>
      </c>
      <c r="B45" t="s">
        <v>118</v>
      </c>
    </row>
    <row r="46" spans="1:2" x14ac:dyDescent="0.3">
      <c r="A46">
        <v>45</v>
      </c>
      <c r="B46" t="s">
        <v>119</v>
      </c>
    </row>
    <row r="47" spans="1:2" x14ac:dyDescent="0.3">
      <c r="A47">
        <v>46</v>
      </c>
      <c r="B47" t="s">
        <v>120</v>
      </c>
    </row>
    <row r="48" spans="1:2" x14ac:dyDescent="0.3">
      <c r="A48">
        <v>47</v>
      </c>
      <c r="B48" t="s">
        <v>121</v>
      </c>
    </row>
    <row r="49" spans="1:2" x14ac:dyDescent="0.3">
      <c r="A49">
        <v>48</v>
      </c>
      <c r="B49" t="s">
        <v>122</v>
      </c>
    </row>
    <row r="50" spans="1:2" x14ac:dyDescent="0.3">
      <c r="A50">
        <v>49</v>
      </c>
      <c r="B50" t="s">
        <v>123</v>
      </c>
    </row>
    <row r="51" spans="1:2" x14ac:dyDescent="0.3">
      <c r="A51">
        <v>50</v>
      </c>
      <c r="B51" t="s">
        <v>124</v>
      </c>
    </row>
    <row r="52" spans="1:2" x14ac:dyDescent="0.3">
      <c r="A52">
        <v>51</v>
      </c>
      <c r="B52" t="s">
        <v>125</v>
      </c>
    </row>
    <row r="53" spans="1:2" x14ac:dyDescent="0.3">
      <c r="A53">
        <v>52</v>
      </c>
      <c r="B53" t="s">
        <v>126</v>
      </c>
    </row>
    <row r="54" spans="1:2" x14ac:dyDescent="0.3">
      <c r="A54">
        <v>53</v>
      </c>
      <c r="B54" t="s">
        <v>9</v>
      </c>
    </row>
    <row r="55" spans="1:2" x14ac:dyDescent="0.3">
      <c r="A55">
        <v>54</v>
      </c>
      <c r="B55" t="s">
        <v>127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B8828-5A2E-4DD5-A18A-4B12E19D98D0}">
  <dimension ref="A1:B152"/>
  <sheetViews>
    <sheetView showGridLines="0" workbookViewId="0">
      <selection activeCell="A2" sqref="A2"/>
    </sheetView>
  </sheetViews>
  <sheetFormatPr defaultRowHeight="16.5" x14ac:dyDescent="0.3"/>
  <cols>
    <col min="1" max="1" width="13.375" customWidth="1"/>
    <col min="2" max="2" width="15.25" customWidth="1"/>
  </cols>
  <sheetData>
    <row r="1" spans="1:2" x14ac:dyDescent="0.3">
      <c r="A1" t="s">
        <v>35</v>
      </c>
      <c r="B1" t="s">
        <v>128</v>
      </c>
    </row>
    <row r="2" spans="1:2" x14ac:dyDescent="0.3">
      <c r="A2">
        <v>1</v>
      </c>
      <c r="B2" t="s">
        <v>129</v>
      </c>
    </row>
    <row r="3" spans="1:2" x14ac:dyDescent="0.3">
      <c r="A3">
        <v>2</v>
      </c>
      <c r="B3" t="s">
        <v>130</v>
      </c>
    </row>
    <row r="4" spans="1:2" x14ac:dyDescent="0.3">
      <c r="A4">
        <v>3</v>
      </c>
      <c r="B4" t="s">
        <v>131</v>
      </c>
    </row>
    <row r="5" spans="1:2" x14ac:dyDescent="0.3">
      <c r="A5">
        <v>4</v>
      </c>
      <c r="B5" t="s">
        <v>132</v>
      </c>
    </row>
    <row r="6" spans="1:2" x14ac:dyDescent="0.3">
      <c r="A6">
        <v>5</v>
      </c>
      <c r="B6" t="s">
        <v>133</v>
      </c>
    </row>
    <row r="7" spans="1:2" x14ac:dyDescent="0.3">
      <c r="A7">
        <v>6</v>
      </c>
      <c r="B7" t="s">
        <v>134</v>
      </c>
    </row>
    <row r="8" spans="1:2" x14ac:dyDescent="0.3">
      <c r="A8">
        <v>7</v>
      </c>
      <c r="B8" t="s">
        <v>135</v>
      </c>
    </row>
    <row r="9" spans="1:2" x14ac:dyDescent="0.3">
      <c r="A9">
        <v>8</v>
      </c>
      <c r="B9" t="s">
        <v>136</v>
      </c>
    </row>
    <row r="10" spans="1:2" x14ac:dyDescent="0.3">
      <c r="A10">
        <v>9</v>
      </c>
      <c r="B10" t="s">
        <v>138</v>
      </c>
    </row>
    <row r="11" spans="1:2" x14ac:dyDescent="0.3">
      <c r="A11">
        <v>10</v>
      </c>
      <c r="B11" t="s">
        <v>20</v>
      </c>
    </row>
    <row r="12" spans="1:2" x14ac:dyDescent="0.3">
      <c r="A12">
        <v>11</v>
      </c>
      <c r="B12" t="s">
        <v>139</v>
      </c>
    </row>
    <row r="13" spans="1:2" x14ac:dyDescent="0.3">
      <c r="A13">
        <v>12</v>
      </c>
      <c r="B13" t="s">
        <v>137</v>
      </c>
    </row>
    <row r="14" spans="1:2" x14ac:dyDescent="0.3">
      <c r="A14">
        <v>13</v>
      </c>
      <c r="B14" t="s">
        <v>140</v>
      </c>
    </row>
    <row r="15" spans="1:2" x14ac:dyDescent="0.3">
      <c r="A15">
        <v>14</v>
      </c>
      <c r="B15" t="s">
        <v>141</v>
      </c>
    </row>
    <row r="16" spans="1:2" x14ac:dyDescent="0.3">
      <c r="A16">
        <v>15</v>
      </c>
      <c r="B16" t="s">
        <v>142</v>
      </c>
    </row>
    <row r="17" spans="1:2" x14ac:dyDescent="0.3">
      <c r="A17">
        <v>16</v>
      </c>
      <c r="B17" t="s">
        <v>143</v>
      </c>
    </row>
    <row r="18" spans="1:2" x14ac:dyDescent="0.3">
      <c r="A18">
        <v>17</v>
      </c>
      <c r="B18" t="s">
        <v>144</v>
      </c>
    </row>
    <row r="19" spans="1:2" x14ac:dyDescent="0.3">
      <c r="A19">
        <v>18</v>
      </c>
      <c r="B19" t="s">
        <v>145</v>
      </c>
    </row>
    <row r="20" spans="1:2" x14ac:dyDescent="0.3">
      <c r="A20">
        <v>19</v>
      </c>
      <c r="B20" t="s">
        <v>146</v>
      </c>
    </row>
    <row r="21" spans="1:2" x14ac:dyDescent="0.3">
      <c r="A21">
        <v>20</v>
      </c>
      <c r="B21" t="s">
        <v>147</v>
      </c>
    </row>
    <row r="22" spans="1:2" x14ac:dyDescent="0.3">
      <c r="A22">
        <v>21</v>
      </c>
      <c r="B22" t="s">
        <v>148</v>
      </c>
    </row>
    <row r="23" spans="1:2" x14ac:dyDescent="0.3">
      <c r="A23">
        <v>22</v>
      </c>
      <c r="B23" t="s">
        <v>149</v>
      </c>
    </row>
    <row r="24" spans="1:2" x14ac:dyDescent="0.3">
      <c r="A24">
        <v>23</v>
      </c>
      <c r="B24" t="s">
        <v>21</v>
      </c>
    </row>
    <row r="25" spans="1:2" x14ac:dyDescent="0.3">
      <c r="A25">
        <v>24</v>
      </c>
      <c r="B25" t="s">
        <v>150</v>
      </c>
    </row>
    <row r="26" spans="1:2" x14ac:dyDescent="0.3">
      <c r="A26">
        <v>25</v>
      </c>
      <c r="B26" t="s">
        <v>151</v>
      </c>
    </row>
    <row r="27" spans="1:2" x14ac:dyDescent="0.3">
      <c r="A27">
        <v>26</v>
      </c>
      <c r="B27" t="s">
        <v>152</v>
      </c>
    </row>
    <row r="28" spans="1:2" x14ac:dyDescent="0.3">
      <c r="A28">
        <v>27</v>
      </c>
      <c r="B28" t="s">
        <v>153</v>
      </c>
    </row>
    <row r="29" spans="1:2" x14ac:dyDescent="0.3">
      <c r="A29">
        <v>28</v>
      </c>
      <c r="B29" t="s">
        <v>154</v>
      </c>
    </row>
    <row r="30" spans="1:2" x14ac:dyDescent="0.3">
      <c r="A30">
        <v>29</v>
      </c>
      <c r="B30" t="s">
        <v>155</v>
      </c>
    </row>
    <row r="31" spans="1:2" x14ac:dyDescent="0.3">
      <c r="A31">
        <v>30</v>
      </c>
      <c r="B31" t="s">
        <v>156</v>
      </c>
    </row>
    <row r="32" spans="1:2" x14ac:dyDescent="0.3">
      <c r="A32">
        <v>31</v>
      </c>
      <c r="B32" t="s">
        <v>157</v>
      </c>
    </row>
    <row r="33" spans="1:2" x14ac:dyDescent="0.3">
      <c r="A33">
        <v>32</v>
      </c>
      <c r="B33" t="s">
        <v>158</v>
      </c>
    </row>
    <row r="34" spans="1:2" x14ac:dyDescent="0.3">
      <c r="A34">
        <v>33</v>
      </c>
      <c r="B34" t="s">
        <v>159</v>
      </c>
    </row>
    <row r="35" spans="1:2" x14ac:dyDescent="0.3">
      <c r="A35">
        <v>34</v>
      </c>
      <c r="B35" t="s">
        <v>160</v>
      </c>
    </row>
    <row r="36" spans="1:2" x14ac:dyDescent="0.3">
      <c r="A36">
        <v>35</v>
      </c>
      <c r="B36" t="s">
        <v>161</v>
      </c>
    </row>
    <row r="37" spans="1:2" x14ac:dyDescent="0.3">
      <c r="A37">
        <v>36</v>
      </c>
      <c r="B37" t="s">
        <v>162</v>
      </c>
    </row>
    <row r="38" spans="1:2" x14ac:dyDescent="0.3">
      <c r="A38">
        <v>37</v>
      </c>
      <c r="B38" t="s">
        <v>163</v>
      </c>
    </row>
    <row r="39" spans="1:2" x14ac:dyDescent="0.3">
      <c r="A39">
        <v>38</v>
      </c>
      <c r="B39" t="s">
        <v>164</v>
      </c>
    </row>
    <row r="40" spans="1:2" x14ac:dyDescent="0.3">
      <c r="A40">
        <v>39</v>
      </c>
      <c r="B40" t="s">
        <v>165</v>
      </c>
    </row>
    <row r="41" spans="1:2" x14ac:dyDescent="0.3">
      <c r="A41">
        <v>40</v>
      </c>
      <c r="B41" t="s">
        <v>166</v>
      </c>
    </row>
    <row r="42" spans="1:2" x14ac:dyDescent="0.3">
      <c r="A42">
        <v>41</v>
      </c>
      <c r="B42" t="s">
        <v>167</v>
      </c>
    </row>
    <row r="43" spans="1:2" x14ac:dyDescent="0.3">
      <c r="A43">
        <v>42</v>
      </c>
      <c r="B43" t="s">
        <v>168</v>
      </c>
    </row>
    <row r="44" spans="1:2" x14ac:dyDescent="0.3">
      <c r="A44">
        <v>43</v>
      </c>
      <c r="B44" t="s">
        <v>169</v>
      </c>
    </row>
    <row r="45" spans="1:2" x14ac:dyDescent="0.3">
      <c r="A45">
        <v>44</v>
      </c>
      <c r="B45" t="s">
        <v>170</v>
      </c>
    </row>
    <row r="46" spans="1:2" x14ac:dyDescent="0.3">
      <c r="A46">
        <v>45</v>
      </c>
      <c r="B46" t="s">
        <v>171</v>
      </c>
    </row>
    <row r="47" spans="1:2" x14ac:dyDescent="0.3">
      <c r="A47">
        <v>46</v>
      </c>
      <c r="B47" t="s">
        <v>172</v>
      </c>
    </row>
    <row r="48" spans="1:2" x14ac:dyDescent="0.3">
      <c r="A48">
        <v>47</v>
      </c>
      <c r="B48" t="s">
        <v>173</v>
      </c>
    </row>
    <row r="49" spans="1:2" x14ac:dyDescent="0.3">
      <c r="A49">
        <v>48</v>
      </c>
      <c r="B49" t="s">
        <v>174</v>
      </c>
    </row>
    <row r="50" spans="1:2" x14ac:dyDescent="0.3">
      <c r="A50">
        <v>49</v>
      </c>
      <c r="B50" t="s">
        <v>175</v>
      </c>
    </row>
    <row r="51" spans="1:2" x14ac:dyDescent="0.3">
      <c r="A51">
        <v>50</v>
      </c>
      <c r="B51" t="s">
        <v>176</v>
      </c>
    </row>
    <row r="52" spans="1:2" x14ac:dyDescent="0.3">
      <c r="A52">
        <v>51</v>
      </c>
      <c r="B52" t="s">
        <v>177</v>
      </c>
    </row>
    <row r="53" spans="1:2" x14ac:dyDescent="0.3">
      <c r="A53">
        <v>52</v>
      </c>
      <c r="B53" t="s">
        <v>178</v>
      </c>
    </row>
    <row r="54" spans="1:2" x14ac:dyDescent="0.3">
      <c r="A54">
        <v>53</v>
      </c>
      <c r="B54" t="s">
        <v>179</v>
      </c>
    </row>
    <row r="55" spans="1:2" x14ac:dyDescent="0.3">
      <c r="A55">
        <v>54</v>
      </c>
      <c r="B55" t="s">
        <v>180</v>
      </c>
    </row>
    <row r="56" spans="1:2" x14ac:dyDescent="0.3">
      <c r="A56">
        <v>55</v>
      </c>
      <c r="B56" t="s">
        <v>181</v>
      </c>
    </row>
    <row r="57" spans="1:2" x14ac:dyDescent="0.3">
      <c r="A57">
        <v>56</v>
      </c>
      <c r="B57" t="s">
        <v>182</v>
      </c>
    </row>
    <row r="58" spans="1:2" x14ac:dyDescent="0.3">
      <c r="A58">
        <v>57</v>
      </c>
      <c r="B58" t="s">
        <v>183</v>
      </c>
    </row>
    <row r="59" spans="1:2" x14ac:dyDescent="0.3">
      <c r="A59">
        <v>58</v>
      </c>
      <c r="B59" t="s">
        <v>184</v>
      </c>
    </row>
    <row r="60" spans="1:2" x14ac:dyDescent="0.3">
      <c r="A60">
        <v>59</v>
      </c>
      <c r="B60" t="s">
        <v>185</v>
      </c>
    </row>
    <row r="61" spans="1:2" x14ac:dyDescent="0.3">
      <c r="A61">
        <v>60</v>
      </c>
      <c r="B61" t="s">
        <v>186</v>
      </c>
    </row>
    <row r="62" spans="1:2" x14ac:dyDescent="0.3">
      <c r="A62">
        <v>61</v>
      </c>
      <c r="B62" t="s">
        <v>187</v>
      </c>
    </row>
    <row r="63" spans="1:2" x14ac:dyDescent="0.3">
      <c r="A63">
        <v>62</v>
      </c>
      <c r="B63" t="s">
        <v>23</v>
      </c>
    </row>
    <row r="64" spans="1:2" x14ac:dyDescent="0.3">
      <c r="A64">
        <v>63</v>
      </c>
      <c r="B64" t="s">
        <v>33</v>
      </c>
    </row>
    <row r="65" spans="1:2" x14ac:dyDescent="0.3">
      <c r="A65">
        <v>64</v>
      </c>
      <c r="B65" t="s">
        <v>188</v>
      </c>
    </row>
    <row r="66" spans="1:2" x14ac:dyDescent="0.3">
      <c r="A66">
        <v>65</v>
      </c>
      <c r="B66" t="s">
        <v>189</v>
      </c>
    </row>
    <row r="67" spans="1:2" x14ac:dyDescent="0.3">
      <c r="A67">
        <v>66</v>
      </c>
      <c r="B67" t="s">
        <v>190</v>
      </c>
    </row>
    <row r="68" spans="1:2" x14ac:dyDescent="0.3">
      <c r="A68">
        <v>67</v>
      </c>
      <c r="B68" t="s">
        <v>191</v>
      </c>
    </row>
    <row r="69" spans="1:2" x14ac:dyDescent="0.3">
      <c r="A69">
        <v>68</v>
      </c>
      <c r="B69" t="s">
        <v>192</v>
      </c>
    </row>
    <row r="70" spans="1:2" x14ac:dyDescent="0.3">
      <c r="A70">
        <v>69</v>
      </c>
      <c r="B70" t="s">
        <v>31</v>
      </c>
    </row>
    <row r="71" spans="1:2" x14ac:dyDescent="0.3">
      <c r="A71">
        <v>70</v>
      </c>
      <c r="B71" t="s">
        <v>193</v>
      </c>
    </row>
    <row r="72" spans="1:2" x14ac:dyDescent="0.3">
      <c r="A72">
        <v>71</v>
      </c>
      <c r="B72" t="s">
        <v>194</v>
      </c>
    </row>
    <row r="73" spans="1:2" x14ac:dyDescent="0.3">
      <c r="A73">
        <v>72</v>
      </c>
      <c r="B73" t="s">
        <v>195</v>
      </c>
    </row>
    <row r="74" spans="1:2" x14ac:dyDescent="0.3">
      <c r="A74">
        <v>73</v>
      </c>
      <c r="B74" t="s">
        <v>196</v>
      </c>
    </row>
    <row r="75" spans="1:2" x14ac:dyDescent="0.3">
      <c r="A75">
        <v>74</v>
      </c>
      <c r="B75" t="s">
        <v>197</v>
      </c>
    </row>
    <row r="76" spans="1:2" x14ac:dyDescent="0.3">
      <c r="A76">
        <v>75</v>
      </c>
      <c r="B76" t="s">
        <v>198</v>
      </c>
    </row>
    <row r="77" spans="1:2" x14ac:dyDescent="0.3">
      <c r="A77">
        <v>76</v>
      </c>
      <c r="B77" t="s">
        <v>199</v>
      </c>
    </row>
    <row r="78" spans="1:2" x14ac:dyDescent="0.3">
      <c r="A78">
        <v>77</v>
      </c>
      <c r="B78" t="s">
        <v>200</v>
      </c>
    </row>
    <row r="79" spans="1:2" x14ac:dyDescent="0.3">
      <c r="A79">
        <v>78</v>
      </c>
      <c r="B79" t="s">
        <v>201</v>
      </c>
    </row>
    <row r="80" spans="1:2" x14ac:dyDescent="0.3">
      <c r="A80">
        <v>79</v>
      </c>
      <c r="B80" t="s">
        <v>202</v>
      </c>
    </row>
    <row r="81" spans="1:2" x14ac:dyDescent="0.3">
      <c r="A81">
        <v>80</v>
      </c>
      <c r="B81" t="s">
        <v>203</v>
      </c>
    </row>
    <row r="82" spans="1:2" x14ac:dyDescent="0.3">
      <c r="A82">
        <v>81</v>
      </c>
      <c r="B82" t="s">
        <v>204</v>
      </c>
    </row>
    <row r="83" spans="1:2" x14ac:dyDescent="0.3">
      <c r="A83">
        <v>82</v>
      </c>
      <c r="B83" t="s">
        <v>205</v>
      </c>
    </row>
    <row r="84" spans="1:2" x14ac:dyDescent="0.3">
      <c r="A84">
        <v>83</v>
      </c>
      <c r="B84" t="s">
        <v>206</v>
      </c>
    </row>
    <row r="85" spans="1:2" x14ac:dyDescent="0.3">
      <c r="A85">
        <v>84</v>
      </c>
      <c r="B85" t="s">
        <v>207</v>
      </c>
    </row>
    <row r="86" spans="1:2" x14ac:dyDescent="0.3">
      <c r="A86">
        <v>85</v>
      </c>
      <c r="B86" t="s">
        <v>208</v>
      </c>
    </row>
    <row r="87" spans="1:2" x14ac:dyDescent="0.3">
      <c r="A87">
        <v>86</v>
      </c>
      <c r="B87" t="s">
        <v>209</v>
      </c>
    </row>
    <row r="88" spans="1:2" x14ac:dyDescent="0.3">
      <c r="A88">
        <v>87</v>
      </c>
      <c r="B88" t="s">
        <v>210</v>
      </c>
    </row>
    <row r="89" spans="1:2" x14ac:dyDescent="0.3">
      <c r="A89">
        <v>88</v>
      </c>
      <c r="B89" t="s">
        <v>24</v>
      </c>
    </row>
    <row r="90" spans="1:2" x14ac:dyDescent="0.3">
      <c r="A90">
        <v>89</v>
      </c>
      <c r="B90" t="s">
        <v>211</v>
      </c>
    </row>
    <row r="91" spans="1:2" x14ac:dyDescent="0.3">
      <c r="A91">
        <v>90</v>
      </c>
      <c r="B91" t="s">
        <v>212</v>
      </c>
    </row>
    <row r="92" spans="1:2" x14ac:dyDescent="0.3">
      <c r="A92">
        <v>91</v>
      </c>
      <c r="B92" t="s">
        <v>213</v>
      </c>
    </row>
    <row r="93" spans="1:2" x14ac:dyDescent="0.3">
      <c r="A93">
        <v>92</v>
      </c>
      <c r="B93" t="s">
        <v>214</v>
      </c>
    </row>
    <row r="94" spans="1:2" x14ac:dyDescent="0.3">
      <c r="A94">
        <v>93</v>
      </c>
      <c r="B94" t="s">
        <v>29</v>
      </c>
    </row>
    <row r="95" spans="1:2" x14ac:dyDescent="0.3">
      <c r="A95">
        <v>94</v>
      </c>
      <c r="B95" t="s">
        <v>28</v>
      </c>
    </row>
    <row r="96" spans="1:2" x14ac:dyDescent="0.3">
      <c r="A96">
        <v>95</v>
      </c>
      <c r="B96" t="s">
        <v>215</v>
      </c>
    </row>
    <row r="97" spans="1:2" x14ac:dyDescent="0.3">
      <c r="A97">
        <v>96</v>
      </c>
      <c r="B97" t="s">
        <v>216</v>
      </c>
    </row>
    <row r="98" spans="1:2" x14ac:dyDescent="0.3">
      <c r="A98">
        <v>97</v>
      </c>
      <c r="B98" t="s">
        <v>217</v>
      </c>
    </row>
    <row r="99" spans="1:2" x14ac:dyDescent="0.3">
      <c r="A99">
        <v>98</v>
      </c>
      <c r="B99" t="s">
        <v>218</v>
      </c>
    </row>
    <row r="100" spans="1:2" x14ac:dyDescent="0.3">
      <c r="A100">
        <v>99</v>
      </c>
      <c r="B100" t="s">
        <v>219</v>
      </c>
    </row>
    <row r="101" spans="1:2" x14ac:dyDescent="0.3">
      <c r="A101">
        <v>100</v>
      </c>
      <c r="B101" t="s">
        <v>220</v>
      </c>
    </row>
    <row r="102" spans="1:2" x14ac:dyDescent="0.3">
      <c r="A102">
        <v>101</v>
      </c>
      <c r="B102" t="s">
        <v>221</v>
      </c>
    </row>
    <row r="103" spans="1:2" x14ac:dyDescent="0.3">
      <c r="A103">
        <v>102</v>
      </c>
      <c r="B103" t="s">
        <v>18</v>
      </c>
    </row>
    <row r="104" spans="1:2" x14ac:dyDescent="0.3">
      <c r="A104">
        <v>103</v>
      </c>
      <c r="B104" t="s">
        <v>222</v>
      </c>
    </row>
    <row r="105" spans="1:2" x14ac:dyDescent="0.3">
      <c r="A105">
        <v>104</v>
      </c>
      <c r="B105" t="s">
        <v>223</v>
      </c>
    </row>
    <row r="106" spans="1:2" x14ac:dyDescent="0.3">
      <c r="A106">
        <v>105</v>
      </c>
      <c r="B106" t="s">
        <v>224</v>
      </c>
    </row>
    <row r="107" spans="1:2" x14ac:dyDescent="0.3">
      <c r="A107">
        <v>106</v>
      </c>
      <c r="B107" t="s">
        <v>225</v>
      </c>
    </row>
    <row r="108" spans="1:2" x14ac:dyDescent="0.3">
      <c r="A108">
        <v>107</v>
      </c>
      <c r="B108" t="s">
        <v>226</v>
      </c>
    </row>
    <row r="109" spans="1:2" x14ac:dyDescent="0.3">
      <c r="A109">
        <v>108</v>
      </c>
      <c r="B109" t="s">
        <v>227</v>
      </c>
    </row>
    <row r="110" spans="1:2" x14ac:dyDescent="0.3">
      <c r="A110">
        <v>109</v>
      </c>
      <c r="B110" t="s">
        <v>228</v>
      </c>
    </row>
    <row r="111" spans="1:2" x14ac:dyDescent="0.3">
      <c r="A111">
        <v>110</v>
      </c>
      <c r="B111" t="s">
        <v>229</v>
      </c>
    </row>
    <row r="112" spans="1:2" x14ac:dyDescent="0.3">
      <c r="A112">
        <v>111</v>
      </c>
      <c r="B112" t="s">
        <v>230</v>
      </c>
    </row>
    <row r="113" spans="1:2" x14ac:dyDescent="0.3">
      <c r="A113">
        <v>112</v>
      </c>
      <c r="B113" t="s">
        <v>231</v>
      </c>
    </row>
    <row r="114" spans="1:2" x14ac:dyDescent="0.3">
      <c r="A114">
        <v>113</v>
      </c>
      <c r="B114" t="s">
        <v>232</v>
      </c>
    </row>
    <row r="115" spans="1:2" x14ac:dyDescent="0.3">
      <c r="A115">
        <v>114</v>
      </c>
      <c r="B115" t="s">
        <v>233</v>
      </c>
    </row>
    <row r="116" spans="1:2" x14ac:dyDescent="0.3">
      <c r="A116">
        <v>115</v>
      </c>
      <c r="B116" t="s">
        <v>234</v>
      </c>
    </row>
    <row r="117" spans="1:2" x14ac:dyDescent="0.3">
      <c r="A117">
        <v>116</v>
      </c>
      <c r="B117" t="s">
        <v>34</v>
      </c>
    </row>
    <row r="118" spans="1:2" x14ac:dyDescent="0.3">
      <c r="A118">
        <v>117</v>
      </c>
      <c r="B118" t="s">
        <v>235</v>
      </c>
    </row>
    <row r="119" spans="1:2" x14ac:dyDescent="0.3">
      <c r="A119">
        <v>118</v>
      </c>
      <c r="B119" t="s">
        <v>236</v>
      </c>
    </row>
    <row r="120" spans="1:2" x14ac:dyDescent="0.3">
      <c r="A120">
        <v>119</v>
      </c>
      <c r="B120" t="s">
        <v>237</v>
      </c>
    </row>
    <row r="121" spans="1:2" x14ac:dyDescent="0.3">
      <c r="A121">
        <v>120</v>
      </c>
      <c r="B121" t="s">
        <v>25</v>
      </c>
    </row>
    <row r="122" spans="1:2" x14ac:dyDescent="0.3">
      <c r="A122">
        <v>121</v>
      </c>
      <c r="B122" t="s">
        <v>22</v>
      </c>
    </row>
    <row r="123" spans="1:2" x14ac:dyDescent="0.3">
      <c r="A123">
        <v>122</v>
      </c>
      <c r="B123" t="s">
        <v>238</v>
      </c>
    </row>
    <row r="124" spans="1:2" x14ac:dyDescent="0.3">
      <c r="A124">
        <v>123</v>
      </c>
      <c r="B124" t="s">
        <v>239</v>
      </c>
    </row>
    <row r="125" spans="1:2" x14ac:dyDescent="0.3">
      <c r="A125">
        <v>124</v>
      </c>
      <c r="B125" t="s">
        <v>240</v>
      </c>
    </row>
    <row r="126" spans="1:2" x14ac:dyDescent="0.3">
      <c r="A126">
        <v>125</v>
      </c>
      <c r="B126" t="s">
        <v>241</v>
      </c>
    </row>
    <row r="127" spans="1:2" x14ac:dyDescent="0.3">
      <c r="A127">
        <v>126</v>
      </c>
      <c r="B127" t="s">
        <v>242</v>
      </c>
    </row>
    <row r="128" spans="1:2" x14ac:dyDescent="0.3">
      <c r="A128">
        <v>127</v>
      </c>
      <c r="B128" t="s">
        <v>243</v>
      </c>
    </row>
    <row r="129" spans="1:2" x14ac:dyDescent="0.3">
      <c r="A129">
        <v>128</v>
      </c>
      <c r="B129" t="s">
        <v>244</v>
      </c>
    </row>
    <row r="130" spans="1:2" x14ac:dyDescent="0.3">
      <c r="A130">
        <v>129</v>
      </c>
      <c r="B130" t="s">
        <v>245</v>
      </c>
    </row>
    <row r="131" spans="1:2" x14ac:dyDescent="0.3">
      <c r="A131">
        <v>130</v>
      </c>
      <c r="B131" t="s">
        <v>246</v>
      </c>
    </row>
    <row r="132" spans="1:2" x14ac:dyDescent="0.3">
      <c r="A132">
        <v>131</v>
      </c>
      <c r="B132" t="s">
        <v>247</v>
      </c>
    </row>
    <row r="133" spans="1:2" x14ac:dyDescent="0.3">
      <c r="A133">
        <v>132</v>
      </c>
      <c r="B133" t="s">
        <v>248</v>
      </c>
    </row>
    <row r="134" spans="1:2" x14ac:dyDescent="0.3">
      <c r="A134">
        <v>133</v>
      </c>
      <c r="B134" t="s">
        <v>249</v>
      </c>
    </row>
    <row r="135" spans="1:2" x14ac:dyDescent="0.3">
      <c r="A135">
        <v>134</v>
      </c>
      <c r="B135" t="s">
        <v>26</v>
      </c>
    </row>
    <row r="136" spans="1:2" x14ac:dyDescent="0.3">
      <c r="A136">
        <v>135</v>
      </c>
      <c r="B136" t="s">
        <v>27</v>
      </c>
    </row>
    <row r="137" spans="1:2" x14ac:dyDescent="0.3">
      <c r="A137">
        <v>136</v>
      </c>
      <c r="B137" t="s">
        <v>250</v>
      </c>
    </row>
    <row r="138" spans="1:2" x14ac:dyDescent="0.3">
      <c r="A138">
        <v>137</v>
      </c>
      <c r="B138" t="s">
        <v>251</v>
      </c>
    </row>
    <row r="139" spans="1:2" x14ac:dyDescent="0.3">
      <c r="A139">
        <v>138</v>
      </c>
      <c r="B139" t="s">
        <v>252</v>
      </c>
    </row>
    <row r="140" spans="1:2" x14ac:dyDescent="0.3">
      <c r="A140">
        <v>139</v>
      </c>
      <c r="B140" t="s">
        <v>40</v>
      </c>
    </row>
    <row r="141" spans="1:2" x14ac:dyDescent="0.3">
      <c r="A141">
        <v>140</v>
      </c>
      <c r="B141" t="s">
        <v>253</v>
      </c>
    </row>
    <row r="142" spans="1:2" x14ac:dyDescent="0.3">
      <c r="A142">
        <v>141</v>
      </c>
      <c r="B142" t="s">
        <v>254</v>
      </c>
    </row>
    <row r="143" spans="1:2" x14ac:dyDescent="0.3">
      <c r="A143">
        <v>142</v>
      </c>
      <c r="B143" t="s">
        <v>255</v>
      </c>
    </row>
    <row r="144" spans="1:2" x14ac:dyDescent="0.3">
      <c r="A144">
        <v>143</v>
      </c>
      <c r="B144" t="s">
        <v>256</v>
      </c>
    </row>
    <row r="145" spans="1:2" x14ac:dyDescent="0.3">
      <c r="A145">
        <v>144</v>
      </c>
      <c r="B145" t="s">
        <v>257</v>
      </c>
    </row>
    <row r="146" spans="1:2" x14ac:dyDescent="0.3">
      <c r="A146">
        <v>145</v>
      </c>
      <c r="B146" t="s">
        <v>19</v>
      </c>
    </row>
    <row r="147" spans="1:2" x14ac:dyDescent="0.3">
      <c r="A147">
        <v>146</v>
      </c>
      <c r="B147" t="s">
        <v>258</v>
      </c>
    </row>
    <row r="148" spans="1:2" x14ac:dyDescent="0.3">
      <c r="A148">
        <v>147</v>
      </c>
      <c r="B148" t="s">
        <v>259</v>
      </c>
    </row>
    <row r="149" spans="1:2" x14ac:dyDescent="0.3">
      <c r="A149">
        <v>148</v>
      </c>
      <c r="B149" t="s">
        <v>260</v>
      </c>
    </row>
    <row r="150" spans="1:2" x14ac:dyDescent="0.3">
      <c r="A150">
        <v>149</v>
      </c>
      <c r="B150" t="s">
        <v>261</v>
      </c>
    </row>
    <row r="151" spans="1:2" x14ac:dyDescent="0.3">
      <c r="A151">
        <v>150</v>
      </c>
      <c r="B151" t="s">
        <v>262</v>
      </c>
    </row>
    <row r="152" spans="1:2" x14ac:dyDescent="0.3">
      <c r="A152">
        <v>151</v>
      </c>
      <c r="B152" t="s">
        <v>263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A31E-A81F-45AA-9B1C-D36189F4376B}">
  <dimension ref="A1:B3"/>
  <sheetViews>
    <sheetView showGridLines="0" workbookViewId="0">
      <selection activeCell="A2" sqref="A2"/>
    </sheetView>
  </sheetViews>
  <sheetFormatPr defaultRowHeight="16.5" x14ac:dyDescent="0.3"/>
  <cols>
    <col min="1" max="1" width="11.5" customWidth="1"/>
    <col min="2" max="2" width="13.375" customWidth="1"/>
  </cols>
  <sheetData>
    <row r="1" spans="1:2" x14ac:dyDescent="0.3">
      <c r="A1" t="s">
        <v>264</v>
      </c>
      <c r="B1" t="s">
        <v>265</v>
      </c>
    </row>
    <row r="2" spans="1:2" x14ac:dyDescent="0.3">
      <c r="A2">
        <v>1</v>
      </c>
      <c r="B2" t="s">
        <v>6</v>
      </c>
    </row>
    <row r="3" spans="1:2" x14ac:dyDescent="0.3">
      <c r="A3">
        <v>2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E1250-9390-4201-8296-AAFD5D7B306E}">
  <dimension ref="A1:B4"/>
  <sheetViews>
    <sheetView showGridLines="0" workbookViewId="0">
      <selection activeCell="A2" sqref="A2"/>
    </sheetView>
  </sheetViews>
  <sheetFormatPr defaultRowHeight="16.5" x14ac:dyDescent="0.3"/>
  <cols>
    <col min="1" max="1" width="13.25" customWidth="1"/>
    <col min="2" max="2" width="15.125" customWidth="1"/>
  </cols>
  <sheetData>
    <row r="1" spans="1:2" x14ac:dyDescent="0.3">
      <c r="A1" t="s">
        <v>70</v>
      </c>
      <c r="B1" t="s">
        <v>266</v>
      </c>
    </row>
    <row r="2" spans="1:2" x14ac:dyDescent="0.3">
      <c r="A2">
        <v>1</v>
      </c>
      <c r="B2" t="s">
        <v>54</v>
      </c>
    </row>
    <row r="3" spans="1:2" x14ac:dyDescent="0.3">
      <c r="A3">
        <v>2</v>
      </c>
      <c r="B3" t="s">
        <v>30</v>
      </c>
    </row>
    <row r="4" spans="1:2" x14ac:dyDescent="0.3">
      <c r="A4">
        <v>3</v>
      </c>
      <c r="B4" t="s">
        <v>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74E0E-C7B0-4792-A2DA-67CF45D3E198}">
  <dimension ref="A1:H2"/>
  <sheetViews>
    <sheetView showGridLines="0" workbookViewId="0"/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14" bestFit="1" customWidth="1"/>
    <col min="5" max="5" width="9.625" bestFit="1" customWidth="1"/>
    <col min="6" max="6" width="25" bestFit="1" customWidth="1"/>
    <col min="7" max="7" width="15.75" bestFit="1" customWidth="1"/>
    <col min="8" max="8" width="16" bestFit="1" customWidth="1"/>
  </cols>
  <sheetData>
    <row r="1" spans="1:8" x14ac:dyDescent="0.3">
      <c r="A1" t="s">
        <v>59</v>
      </c>
      <c r="B1" t="s">
        <v>35</v>
      </c>
      <c r="C1" t="s">
        <v>36</v>
      </c>
      <c r="D1" t="s">
        <v>81</v>
      </c>
      <c r="E1" t="s">
        <v>72</v>
      </c>
      <c r="F1" t="s">
        <v>69</v>
      </c>
      <c r="G1" t="s">
        <v>128</v>
      </c>
      <c r="H1" t="s">
        <v>82</v>
      </c>
    </row>
    <row r="2" spans="1:8" x14ac:dyDescent="0.3">
      <c r="A2">
        <v>2</v>
      </c>
      <c r="B2">
        <v>93</v>
      </c>
      <c r="C2">
        <v>0</v>
      </c>
      <c r="D2">
        <v>28</v>
      </c>
      <c r="E2">
        <v>1</v>
      </c>
      <c r="F2">
        <v>76.466597938144332</v>
      </c>
      <c r="G2" s="9" t="s">
        <v>29</v>
      </c>
      <c r="H2" s="9" t="s">
        <v>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B2"/>
  <sheetViews>
    <sheetView showGridLines="0" workbookViewId="0">
      <selection activeCell="K11" sqref="K11"/>
    </sheetView>
  </sheetViews>
  <sheetFormatPr defaultRowHeight="16.5" x14ac:dyDescent="0.3"/>
  <sheetData>
    <row r="2" spans="2:2" x14ac:dyDescent="0.3">
      <c r="B2" t="s">
        <v>287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2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3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4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5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</vt:i4>
      </vt:variant>
    </vt:vector>
  </HeadingPairs>
  <TitlesOfParts>
    <vt:vector size="24" baseType="lpstr">
      <vt:lpstr>Paths</vt:lpstr>
      <vt:lpstr>_ref_economic_phase</vt:lpstr>
      <vt:lpstr>Inputs</vt:lpstr>
      <vt:lpstr>Output</vt:lpstr>
      <vt:lpstr>_out_product_production_capacit</vt:lpstr>
      <vt:lpstr>_out_product_bom_consumption</vt:lpstr>
      <vt:lpstr>_out_product_bom_demand_detail</vt:lpstr>
      <vt:lpstr>_out_balance_plan</vt:lpstr>
      <vt:lpstr>_out_clearing_result</vt:lpstr>
      <vt:lpstr>out_allocation_summary</vt:lpstr>
      <vt:lpstr>_ref_building</vt:lpstr>
      <vt:lpstr>_ref_product</vt:lpstr>
      <vt:lpstr>_ref_realm</vt:lpstr>
      <vt:lpstr>_ref_channel</vt:lpstr>
      <vt:lpstr>_out_retail_allocation_result</vt:lpstr>
      <vt:lpstr>Help</vt:lpstr>
      <vt:lpstr>InstallationRoot</vt:lpstr>
      <vt:lpstr>MapStructureList</vt:lpstr>
      <vt:lpstr>nr_BuildingNames</vt:lpstr>
      <vt:lpstr>nr_ChannelNames</vt:lpstr>
      <vt:lpstr>nr_EconomicPhaseNames</vt:lpstr>
      <vt:lpstr>nr_ProductNames</vt:lpstr>
      <vt:lpstr>nr_RealmNames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2026-06-16T16:39:42Z</dcterms:modified>
  <cp:category/>
  <cp:contentStatus/>
</cp:coreProperties>
</file>