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1454" documentId="8_{372FFF71-BA85-4A67-B07D-9803677B54DF}" xr6:coauthVersionLast="47" xr6:coauthVersionMax="47" xr10:uidLastSave="{8A08487B-CED6-4AD1-84A4-A294CD0F9D56}"/>
  <bookViews>
    <workbookView xWindow="-120" yWindow="-120" windowWidth="29040" windowHeight="15720" firstSheet="4" activeTab="4" xr2:uid="{005547BF-1833-45E8-9E6B-655A694EBD70}"/>
  </bookViews>
  <sheets>
    <sheet name="Paths" sheetId="150" r:id="rId1"/>
    <sheet name="Inputs" sheetId="132" r:id="rId2"/>
    <sheet name="Output" sheetId="133" r:id="rId3"/>
    <sheet name="_out_production_intent" sheetId="153" r:id="rId4"/>
    <sheet name="_out_product_bom_consumption" sheetId="154" r:id="rId5"/>
    <sheet name="_out_product_bom_demand_detail" sheetId="157" r:id="rId6"/>
    <sheet name="_out_balance_plan" sheetId="152" r:id="rId7"/>
    <sheet name="_out_clearing_result" sheetId="155" r:id="rId8"/>
    <sheet name="out_allocation_summary" sheetId="151" r:id="rId9"/>
    <sheet name="Help" sheetId="141" r:id="rId10"/>
    <sheet name="_ing_company" sheetId="148" state="hidden" r:id="rId11"/>
    <sheet name="_ing_map_structure" sheetId="149" state="hidden" r:id="rId12"/>
    <sheet name="_ing_override_retail_prices" sheetId="147" state="hidden" r:id="rId13"/>
    <sheet name="_ing_override_exchange_prices" sheetId="146" state="hidden" r:id="rId14"/>
    <sheet name="_ing_clearing_plan" sheetId="145" state="hidden" r:id="rId15"/>
    <sheet name="_ing_production_plan" sheetId="144" state="hidden" r:id="rId16"/>
  </sheets>
  <definedNames>
    <definedName name="_xlpm.f" hidden="1" xlm="1">#NAME?</definedName>
    <definedName name="ExternalData_1" localSheetId="10">_ing_company!$A$1</definedName>
    <definedName name="ExternalData_1" localSheetId="11">_ing_map_structure!$A$1</definedName>
    <definedName name="ExternalData_1" localSheetId="8" hidden="1">out_allocation_summary!$A$1:$G$18</definedName>
    <definedName name="ExternalData_2" localSheetId="6" hidden="1">'_out_balance_plan'!$A$1:$H$18</definedName>
    <definedName name="ExternalData_3" localSheetId="15">_ing_production_plan!$A$1</definedName>
    <definedName name="ExternalData_3" localSheetId="3" hidden="1">'_out_production_intent'!$A$1:$D$17</definedName>
    <definedName name="ExternalData_4" localSheetId="14">_ing_clearing_plan!$A$1</definedName>
    <definedName name="ExternalData_4" localSheetId="4" hidden="1">'_out_product_bom_consumption'!$A$1:$D$15</definedName>
    <definedName name="ExternalData_5" localSheetId="13">_ing_override_exchange_prices!$A$1</definedName>
    <definedName name="ExternalData_5" localSheetId="7" hidden="1">'_out_clearing_result'!$A$1:$G$18</definedName>
    <definedName name="ExternalData_6" localSheetId="12">_ing_override_retail_prices!$A$1</definedName>
    <definedName name="InstallationRoot">Paths!$B$1</definedName>
    <definedName name="MapStructureList">tblMapStructure[Company Key]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33" l="1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7B4CC6-5DD7-4D47-AA18-C06F2971ED7F}" keepAlive="1" name="Query - _ing_clearing_plan" description="Connection to the '_ing_clearing_plan' query in the workbook." type="5" refreshedVersion="0" background="1" saveData="1">
    <dbPr connection="Provider=Microsoft.Mashup.OleDb.1;Data Source=$Workbook$;Location=_ing_clearing_plan;Extended Properties=&quot;&quot;" command="SELECT * FROM [_ing_clearing_plan]"/>
  </connection>
  <connection id="2" xr16:uid="{47C32854-69EC-4B02-A8FE-8439A0115E08}" keepAlive="1" name="Query - _ing_company" description="Connection to the '_ing_company' query in the workbook." type="5" refreshedVersion="0" background="1" saveData="1">
    <dbPr connection="Provider=Microsoft.Mashup.OleDb.1;Data Source=$Workbook$;Location=_ing_company;Extended Properties=&quot;&quot;" command="SELECT * FROM [_ing_company]"/>
  </connection>
  <connection id="3" xr16:uid="{EE73C72F-6352-481A-85CB-F1B6DBBE178A}" keepAlive="1" name="Query - _ing_map_structure" description="Connection to the '_ing_map_structure' query in the workbook." type="5" refreshedVersion="0" background="1" saveData="1">
    <dbPr connection="Provider=Microsoft.Mashup.OleDb.1;Data Source=$Workbook$;Location=_ing_map_structure;Extended Properties=&quot;&quot;" command="SELECT * FROM [_ing_map_structure]"/>
  </connection>
  <connection id="4" xr16:uid="{435AE79C-3F96-4B76-900A-35D7E0F2994B}" keepAlive="1" name="Query - _ing_override_exchange_prices" description="Connection to the '_ing_override_exchange_prices' query in the workbook." type="5" refreshedVersion="0" background="1" saveData="1">
    <dbPr connection="Provider=Microsoft.Mashup.OleDb.1;Data Source=$Workbook$;Location=_ing_override_exchange_prices;Extended Properties=&quot;&quot;" command="SELECT * FROM [_ing_override_exchange_prices]"/>
  </connection>
  <connection id="5" xr16:uid="{D54D0768-017E-4378-BAC4-74F127437D6C}" keepAlive="1" name="Query - _ing_override_retail_prices" description="Connection to the '_ing_override_retail_prices' query in the workbook." type="5" refreshedVersion="0" background="1" saveData="1">
    <dbPr connection="Provider=Microsoft.Mashup.OleDb.1;Data Source=$Workbook$;Location=_ing_override_retail_prices;Extended Properties=&quot;&quot;" command="SELECT * FROM [_ing_override_retail_prices]"/>
  </connection>
  <connection id="6" xr16:uid="{66AAA9CD-B426-4C24-8D2D-4058EFF89CED}" keepAlive="1" name="Query - _ing_production_plan" description="Connection to the '_ing_production_plan' query in the workbook." type="5" refreshedVersion="0" background="1" saveData="1">
    <dbPr connection="Provider=Microsoft.Mashup.OleDb.1;Data Source=$Workbook$;Location=_ing_production_plan;Extended Properties=&quot;&quot;" command="SELECT * FROM [_ing_production_plan]"/>
  </connection>
  <connection id="7" xr16:uid="{17F76A69-2914-42EC-BB45-405DD236E292}" keepAlive="1" name="Query - _out_balance_plan" description="Connection to the '_out_balance_plan' query in the workbook." type="5" refreshedVersion="8" background="1" saveData="1">
    <dbPr connection="Provider=Microsoft.Mashup.OleDb.1;Data Source=$Workbook$;Location=_out_balance_plan;Extended Properties=&quot;&quot;" command="SELECT * FROM [_out_balance_plan]"/>
  </connection>
  <connection id="8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9" xr16:uid="{D1ABF0DA-28CA-4449-BFBB-43061A40B165}" keepAlive="1" name="Query - _out_clearing_result" description="Connection to the '_out_clearing_result' query in the workbook." type="5" refreshedVersion="8" background="1" saveData="1">
    <dbPr connection="Provider=Microsoft.Mashup.OleDb.1;Data Source=$Workbook$;Location=_out_clearing_result;Extended Properties=&quot;&quot;" command="SELECT * FROM [_out_clearing_result]"/>
  </connection>
  <connection id="10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11" xr16:uid="{3CE5AB3D-F966-485A-BCD0-630450A67311}" keepAlive="1" name="Query - _out_product_bom_consumption" description="Connection to the '_out_product_bom_consumption' query in the workbook." type="5" refreshedVersion="8" background="1" saveData="1">
    <dbPr connection="Provider=Microsoft.Mashup.OleDb.1;Data Source=$Workbook$;Location=_out_product_bom_consumption;Extended Properties=&quot;&quot;" command="SELECT * FROM [_out_product_bom_consumption]"/>
  </connection>
  <connection id="12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13" xr16:uid="{6A0C9975-3971-4EBD-990C-1A432440C8C5}" keepAlive="1" name="Query - _out_product_bom_demand_detail" description="Connection to the '_out_product_bom_demand_detail' query in the workbook." type="5" refreshedVersion="0" background="1" saveData="1">
    <dbPr connection="Provider=Microsoft.Mashup.OleDb.1;Data Source=$Workbook$;Location=_out_product_bom_demand_detail;Extended Properties=&quot;&quot;" command="SELECT * FROM [_out_product_bom_demand_detail]"/>
  </connection>
  <connection id="14" xr16:uid="{D915FB28-A022-4735-8046-C08FFB9A9820}" keepAlive="1" name="Query - _out_production_intent" description="Connection to the '_out_production_intent' query in the workbook." type="5" refreshedVersion="8" background="1" saveData="1">
    <dbPr connection="Provider=Microsoft.Mashup.OleDb.1;Data Source=$Workbook$;Location=_out_production_intent;Extended Properties=&quot;&quot;" command="SELECT * FROM [_out_production_intent]"/>
  </connection>
  <connection id="15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16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7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8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9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20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21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22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23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24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5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6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7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8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9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30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31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32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33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34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35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36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7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8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9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40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41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42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43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44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45" xr16:uid="{9B5C1BE1-4EB3-4EFF-A604-F1B772E32053}" keepAlive="1" name="Query - out_allocation_summary" description="Connection to the 'out_allocation_summary' query in the workbook." type="5" refreshedVersion="8" background="1" saveData="1">
    <dbPr connection="Provider=Microsoft.Mashup.OleDb.1;Data Source=$Workbook$;Location=out_allocation_summary;Extended Properties=&quot;&quot;" command="SELECT * FROM [out_allocation_summary]"/>
  </connection>
  <connection id="46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7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8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9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50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51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52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3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4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5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6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7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8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9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60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61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62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3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4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5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6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7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8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9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70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71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72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3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4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5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6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7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8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9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80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81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82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3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4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5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6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7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8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9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90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91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92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3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4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5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6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7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8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9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100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1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2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3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4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5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6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7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8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9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10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1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2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3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4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5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6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7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8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9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20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1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2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3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4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5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6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7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8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9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30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1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2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3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4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5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6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7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8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9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40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1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2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3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4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5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6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7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8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9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50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1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2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3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4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5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6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7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<sst xmlns="http://schemas.openxmlformats.org/spreadsheetml/2006/main" count="260" uniqueCount="107">
  <si>
    <t>Notes</t>
  </si>
  <si>
    <t>Enabled</t>
  </si>
  <si>
    <t>Building Name</t>
  </si>
  <si>
    <t>Building Level</t>
  </si>
  <si>
    <t>Quality Level</t>
  </si>
  <si>
    <t>Company Key</t>
  </si>
  <si>
    <t>Company Name</t>
  </si>
  <si>
    <t>Company Level</t>
  </si>
  <si>
    <t>Snapshot Date</t>
  </si>
  <si>
    <t>Production Speed %</t>
  </si>
  <si>
    <t>Sales Speed %</t>
  </si>
  <si>
    <t>Slot</t>
  </si>
  <si>
    <t>Robots Installed</t>
  </si>
  <si>
    <t>Production Split %</t>
  </si>
  <si>
    <t>Priority</t>
  </si>
  <si>
    <t>Company</t>
  </si>
  <si>
    <t>Map Structure</t>
  </si>
  <si>
    <t>Production Plan</t>
  </si>
  <si>
    <t>Override Exchange Prices</t>
  </si>
  <si>
    <t>Unit Price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</si>
  <si>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</si>
  <si>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</si>
  <si>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</si>
  <si>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</si>
  <si>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</si>
  <si>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</si>
  <si>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</si>
  <si>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</si>
  <si>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</si>
  <si>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</si>
  <si>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</si>
  <si>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</si>
  <si>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</si>
  <si>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</si>
  <si>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</si>
  <si>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</si>
  <si>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</si>
  <si>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</si>
  <si>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</si>
  <si>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</si>
  <si>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</si>
  <si>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</si>
  <si>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</si>
  <si>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</si>
  <si>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</si>
  <si>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</si>
  <si>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</si>
  <si>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</si>
  <si>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</si>
  <si>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Product Name</t>
  </si>
  <si>
    <t>Realm Name</t>
  </si>
  <si>
    <t>Golden Bars</t>
  </si>
  <si>
    <t>Sand</t>
  </si>
  <si>
    <t>ExternalData_3</t>
  </si>
  <si>
    <t>ExternalData_4</t>
  </si>
  <si>
    <t>ExternalData_5</t>
  </si>
  <si>
    <t>ExternalData_6</t>
  </si>
  <si>
    <t>ExternalData_1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</si>
  <si>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</si>
  <si>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</si>
  <si>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</si>
  <si>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</si>
  <si>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</si>
  <si>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</si>
  <si>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</si>
  <si>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</si>
  <si>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</si>
  <si>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</si>
  <si>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</si>
  <si>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</si>
  <si>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</si>
  <si>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</si>
  <si>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</si>
  <si>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</si>
  <si>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</si>
  <si>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</si>
  <si>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</si>
  <si>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Channel Name</t>
  </si>
  <si>
    <t>Allocation Fraction</t>
  </si>
  <si>
    <t>Allocation Units Per Day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</si>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</sst>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3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1" fillId="0" borderId="0" xfId="0" applyFont="1"/>
  </cellXfs>
  <cellStyles count="1"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minor"/>
      </font>
    </dxf>
    <dxf>
      <numFmt numFmtId="0" formatCode="General"/>
    </dxf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20"/>
      <tableStyleElement type="headerRow" dxfId="19"/>
    </tableStyle>
    <tableStyle name="Output Table" pivot="0" count="2" xr9:uid="{2E3CF32D-1805-447A-A85C-8F12D0D17A75}">
      <tableStyleElement type="wholeTable" dxfId="18"/>
      <tableStyleElement type="headerRow" dxfId="17"/>
    </tableStyle>
    <tableStyle name="Ref Table" pivot="0" count="2" xr9:uid="{A770A715-E574-4C04-A545-B413EE13707B}">
      <tableStyleElement type="wholeTable" dxfId="16"/>
      <tableStyleElement type="headerRow" dxfId="15"/>
    </tableStyle>
    <tableStyle name="Reference Material" pivot="0" count="2" xr9:uid="{4A411DC6-D102-4668-BF54-FAE72CB502D1}">
      <tableStyleElement type="wholeTable" dxfId="14"/>
      <tableStyleElement type="headerRow" dxfId="13"/>
    </tableStyle>
    <tableStyle name="Sys Tables" pivot="0" count="2" xr9:uid="{096D3C65-410C-4E50-A003-D708D0B3FEC5}">
      <tableStyleElement type="wholeTable" dxfId="12"/>
      <tableStyleElement type="headerRow" dxfId="11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1/relationships/FeaturePropertyBag" Target="featurePropertyBag/featurePropertyBag.xml"/><Relationship Id="rId27" Type="http://schemas.openxmlformats.org/officeDocument/2006/relationships/customXml" Target="../customXml/item4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4" xr16:uid="{08013D8A-8A0E-43E6-A87C-4985B0B0CCB1}" autoFormatId="16" applyNumberFormats="0" applyBorderFormats="0" applyFontFormats="0" applyPatternFormats="0" applyAlignmentFormats="0" applyWidthHeightFormats="0">
  <queryTableRefresh nextId="5">
    <queryTableFields count="4">
      <queryTableField id="1" name="company_key" tableColumnId="1"/>
      <queryTableField id="2" name="product_key" tableColumnId="2"/>
      <queryTableField id="3" name="quality_level" tableColumnId="3"/>
      <queryTableField id="4" name="units_produced_per_hour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1" xr16:uid="{DD315A0D-4543-4F2A-8C5D-1F14C53C8B73}" autoFormatId="16" applyNumberFormats="0" applyBorderFormats="0" applyFontFormats="0" applyPatternFormats="0" applyAlignmentFormats="0" applyWidthHeightFormats="0">
  <queryTableRefresh nextId="5">
    <queryTableFields count="4">
      <queryTableField id="1" name="company_key" tableColumnId="1"/>
      <queryTableField id="2" name="product_key" tableColumnId="2"/>
      <queryTableField id="3" name="quality_level" tableColumnId="3"/>
      <queryTableField id="4" name="units_consumed_per_hour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33D9CACD-81B5-448E-AA16-60EA845163F7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net_units_per_hour" tableColumnId="2"/>
      <queryTableField id="3" name="product_key" tableColumnId="3"/>
      <queryTableField id="4" name="quality_level" tableColumnId="4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AB521252-C7E8-49AA-BB17-291224C74183}" autoFormatId="16" applyNumberFormats="0" applyBorderFormats="0" applyFontFormats="0" applyPatternFormats="0" applyAlignmentFormats="0" applyWidthHeightFormats="0">
  <queryTableRefresh nextId="8">
    <queryTableFields count="7">
      <queryTableField id="1" name="allocated_units_per_hour" tableColumnId="1"/>
      <queryTableField id="2" name="channel_key" tableColumnId="2"/>
      <queryTableField id="3" name="company_key" tableColumnId="3"/>
      <queryTableField id="4" name="direction" tableColumnId="4"/>
      <queryTableField id="5" name="priority" tableColumnId="5"/>
      <queryTableField id="6" name="product_key" tableColumnId="6"/>
      <queryTableField id="7" name="quality_level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5" xr16:uid="{7E83F68A-C9E0-45BE-AF3F-2DF08699B3C4}" autoFormatId="16" applyNumberFormats="0" applyBorderFormats="0" applyFontFormats="0" applyPatternFormats="0" applyAlignmentFormats="0" applyWidthHeightFormats="0">
  <queryTableRefresh nextId="8">
    <queryTableFields count="7">
      <queryTableField id="1" name="company_key" tableColumnId="1"/>
      <queryTableField id="2" name="is_retail_capped" tableColumnId="2"/>
      <queryTableField id="3" name="non_retail_units_per_hour" tableColumnId="3"/>
      <queryTableField id="4" name="product_key" tableColumnId="4"/>
      <queryTableField id="5" name="quality_level" tableColumnId="5"/>
      <queryTableField id="6" name="retail_units_per_hour" tableColumnId="6"/>
      <queryTableField id="7" name="total_units_per_hour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2" xr16:uid="{BA0BE4DD-7AE1-4846-A9C9-CECB8A4EA608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3" xr16:uid="{76196B7C-D08D-44A5-BB58-5DC24BFCF58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firstBackgroundRefresh="1" connectionId="5" xr16:uid="{B5A590FB-5E17-4D04-B33C-6C62A5F0E75E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firstBackgroundRefresh="1" connectionId="4" xr16:uid="{9E47289E-9543-4381-8B42-2C46CD41844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firstBackgroundRefresh="1" connectionId="1" xr16:uid="{C56E318B-2B23-46F7-9869-69FAD2C3434B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6" xr16:uid="{6ABE1814-C357-4512-B883-B8AB7BE82DFD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I8" totalsRowShown="0">
  <autoFilter ref="A6:I8" xr:uid="{D554E1B6-6669-4D88-AD8A-F964A8DB6010}"/>
  <tableColumns count="9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7" xr3:uid="{394D4B1D-3557-4042-82F2-79A24B25671B}" name="Production Speed %" dataDxfId="10"/>
    <tableColumn id="8" xr3:uid="{13346E22-A822-4DDB-AC42-5BDDA0D7C140}" name="Sales Speed %" dataDxfId="9"/>
    <tableColumn id="9" xr3:uid="{DC6CD4C4-F52F-4006-8272-45075FEB3A09}" name="Enabled" dataDxfId="8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Company Key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7"/>
    <tableColumn id="6" xr3:uid="{5AD26A78-376B-45F9-AD3F-E0EA1CFDD1E0}" name="Enabled" dataDxfId="6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G83" totalsRowShown="0">
  <autoFilter ref="A61:G83" xr:uid="{DF133873-A3C9-4208-BDA4-00D51B2317B0}"/>
  <tableColumns count="7">
    <tableColumn id="1" xr3:uid="{AB1B9003-0D35-4F21-A373-E03850B49EF1}" name="Company Key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5"/>
    <tableColumn id="6" xr3:uid="{D362487B-B768-4C2A-A7E9-5E4BB89B6DB8}" name="Enabled" dataDxfId="4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D187" totalsRowShown="0">
  <autoFilter ref="A169:D187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3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D198" totalsRowShown="0">
  <autoFilter ref="A197:D198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2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G114" totalsRowShown="0">
  <autoFilter ref="A95:G114" xr:uid="{6BC4ADCD-8870-4C36-B211-88BF14F185A8}"/>
  <tableColumns count="7">
    <tableColumn id="1" xr3:uid="{FB1E6A9C-5262-49F1-B914-6BB43EFCB6CA}" name="Company Key"/>
    <tableColumn id="2" xr3:uid="{6228E2FE-9DFE-45D5-8340-7D9B27296377}" name="Product Name"/>
    <tableColumn id="3" xr3:uid="{50A625D4-8B76-4102-9345-ADAE60312C9B}" name="Quality Level"/>
    <tableColumn id="9" xr3:uid="{DC29037E-3A6D-4EC8-8D61-E545252E8A5B}" name="Priority"/>
    <tableColumn id="8" xr3:uid="{304DD206-7414-4AE8-B589-BA1ECF81120C}" name="Channel Name"/>
    <tableColumn id="4" xr3:uid="{8DA8B1B3-0C49-4BD2-9CBD-41143D13C832}" name="Allocation Units Per Day"/>
    <tableColumn id="5" xr3:uid="{85049B14-F17F-4A79-B2EE-3858AEBA21B5}" name="Allocation Fraction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1F1CFD-AECC-43F6-9AAC-CBD92531C796}" name="_out_production_intent" displayName="_out_production_intent" ref="A1:D17" tableType="queryTable" totalsRowShown="0">
  <autoFilter ref="A1:D17" xr:uid="{611F1CFD-AECC-43F6-9AAC-CBD92531C796}"/>
  <tableColumns count="4">
    <tableColumn id="1" xr3:uid="{7B73DF87-BA1B-4C88-A5D7-55412DC0504E}" uniqueName="1" name="company_key" queryTableFieldId="1"/>
    <tableColumn id="2" xr3:uid="{52F33779-55F2-4B0B-ADDE-5960E64C522F}" uniqueName="2" name="product_key" queryTableFieldId="2"/>
    <tableColumn id="3" xr3:uid="{81080B15-948B-4A07-95CC-383ED3FFCE9D}" uniqueName="3" name="quality_level" queryTableFieldId="3"/>
    <tableColumn id="4" xr3:uid="{B13ACBD2-243A-4F04-9D87-92662CCB3CBE}" uniqueName="4" name="units_produced_per_hour" queryTableFieldId="4"/>
  </tableColumns>
  <tableStyleInfo name="Out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_out_product_bom_consumption" displayName="_out_product_bom_consumption" ref="A1:D15" tableType="queryTable" totalsRowShown="0">
  <autoFilter ref="A1:D15" xr:uid="{8C33B665-0B3E-4DCA-8E34-3CA298178A8B}"/>
  <tableColumns count="4">
    <tableColumn id="1" xr3:uid="{8C8E0191-AB97-491A-9CD9-2D7EF277F367}" uniqueName="1" name="company_key" queryTableFieldId="1"/>
    <tableColumn id="2" xr3:uid="{56F55EAE-DE1A-4A5D-9781-4A53FA2B93CD}" uniqueName="2" name="product_key" queryTableFieldId="2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</tableColumns>
  <tableStyleInfo name="Out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70BE3F3-282D-413C-BC56-493C5BA2731A}" name="_out_product_bom_demand_detail" displayName="_out_product_bom_demand_detail" ref="A1:H2" insertRow="1" totalsRowShown="0" headerRowDxfId="0">
  <autoFilter ref="A1:H2" xr:uid="{370BE3F3-282D-413C-BC56-493C5BA2731A}"/>
  <tableColumns count="8">
    <tableColumn id="1" xr3:uid="{ED8AE90F-2A41-422A-926F-223BB5E869F8}" name="company_key"/>
    <tableColumn id="2" xr3:uid="{B615A5BF-E804-4A22-85CA-88F6D7F886A4}" name="source_product_key"/>
    <tableColumn id="3" xr3:uid="{D6BD1049-1E8C-43A2-8DD0-82EE5603F12D}" name="source_quality_level"/>
    <tableColumn id="4" xr3:uid="{388779A8-FD99-44E2-9FB3-89CD7D6CE4CB}" name="demanded_product_key"/>
    <tableColumn id="5" xr3:uid="{A17AAFE3-2ADC-45C2-8A36-9C79E35129C4}" name="demanded_quality_level"/>
    <tableColumn id="6" xr3:uid="{6C8EB8EC-B175-48B3-90A4-BA66CADEB43A}" name="units_consumed_per_hour"/>
    <tableColumn id="7" xr3:uid="{0F97529B-6BEE-4FB1-9050-D745A0BDE860}" name="source_product_name"/>
    <tableColumn id="8" xr3:uid="{199C7622-F74B-453D-81C0-69E2735340D8}" name="demanded_product_name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_out_balance_plan" displayName="_out_balance_plan" ref="A1:H18" tableType="queryTable" totalsRowShown="0">
  <autoFilter ref="A1:H18" xr:uid="{1300D389-4E92-4A3B-9E05-7AEF65561BAE}"/>
  <tableColumns count="8">
    <tableColumn id="1" xr3:uid="{CD694EE8-0E4E-4F94-9345-A8C2B43CB088}" uniqueName="1" name="company_key" queryTableFieldId="1"/>
    <tableColumn id="2" xr3:uid="{7427E588-5B6D-4486-B600-2E65052DF902}" uniqueName="2" name="net_units_per_hour" queryTableFieldId="2"/>
    <tableColumn id="3" xr3:uid="{1D85DA38-5909-4CCF-8FE1-583DBC40D70B}" uniqueName="3" name="product_key" queryTableFieldId="3"/>
    <tableColumn id="4" xr3:uid="{C0C835D5-9574-4FA9-AE20-F8A347F7017A}" uniqueName="4" name="quality_level" queryTableFieldId="4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_out_clearing_result" displayName="_out_clearing_result" ref="A1:G18" tableType="queryTable" totalsRowShown="0">
  <autoFilter ref="A1:G18" xr:uid="{04728E40-C452-47A7-BBD7-A726D5BEB2C3}"/>
  <tableColumns count="7">
    <tableColumn id="1" xr3:uid="{5EF46A99-A05D-4CB4-BAD9-B069B6B7F8A1}" uniqueName="1" name="allocated_units_per_hour" queryTableFieldId="1"/>
    <tableColumn id="2" xr3:uid="{CE81D9B4-8423-4A71-A899-D1DFC5FB7850}" uniqueName="2" name="channel_key" queryTableFieldId="2"/>
    <tableColumn id="3" xr3:uid="{5791FDDD-B276-47FE-878E-7A735D7E9E2D}" uniqueName="3" name="company_key" queryTableFieldId="3"/>
    <tableColumn id="4" xr3:uid="{1D503F3A-EAFB-4C9F-B853-82A1EA04253D}" uniqueName="4" name="direction" queryTableFieldId="4" dataDxfId="1"/>
    <tableColumn id="5" xr3:uid="{90237FDB-7C99-4B5C-8AB8-6C1F09B9763E}" uniqueName="5" name="priority" queryTableFieldId="5"/>
    <tableColumn id="6" xr3:uid="{C4B02CD3-AE0F-4C2D-837B-3D2259AB1E26}" uniqueName="6" name="product_key" queryTableFieldId="6"/>
    <tableColumn id="7" xr3:uid="{99A70940-FFC9-4B37-9C35-8FE8C8ACF9A9}" uniqueName="7" name="quality_level" queryTableFieldId="7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out_allocation_summary" displayName="out_allocation_summary" ref="A1:G18" tableType="queryTable" totalsRowShown="0">
  <autoFilter ref="A1:G18" xr:uid="{4E17DF3E-5287-440B-A27E-FDA3DFDDFF33}"/>
  <tableColumns count="7">
    <tableColumn id="1" xr3:uid="{1102F6B8-9954-4D5C-AD18-3BFED75176A4}" uniqueName="1" name="company_key" queryTableFieldId="1"/>
    <tableColumn id="2" xr3:uid="{EAE8025A-D2AD-4D25-AF70-210DBFC172ED}" uniqueName="2" name="is_retail_capped" queryTableFieldId="2"/>
    <tableColumn id="3" xr3:uid="{E7D5A5EC-052E-49F4-B9BB-72AD25507D44}" uniqueName="3" name="non_retail_units_per_hour" queryTableFieldId="3"/>
    <tableColumn id="4" xr3:uid="{AAF48A8B-4F4E-47D1-A916-4BB4135B0C7F}" uniqueName="4" name="product_key" queryTableFieldId="4"/>
    <tableColumn id="5" xr3:uid="{FFA5452B-04C7-4967-B42F-CC4790573792}" uniqueName="5" name="quality_level" queryTableFieldId="5"/>
    <tableColumn id="6" xr3:uid="{B74818DF-163E-4C1E-8ADE-4AE2CFA893ED}" uniqueName="6" name="retail_units_per_hour" queryTableFieldId="6"/>
    <tableColumn id="7" xr3:uid="{6EBA1416-3D6F-48A8-AA56-28F12A4F4BB4}" uniqueName="7" name="total_units_per_hour" queryTableFieldId="7"/>
  </tableColumns>
  <tableStyleInfo name="Outpu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sqref="A1: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81</v>
      </c>
      <c r="B1" t="s">
        <v>82</v>
      </c>
    </row>
    <row r="2" spans="1:2" x14ac:dyDescent="0.3">
      <c r="A2" t="s">
        <v>83</v>
      </c>
      <c r="B2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I198"/>
  <sheetViews>
    <sheetView showGridLines="0" topLeftCell="A55" workbookViewId="0">
      <selection activeCell="E56" sqref="E56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0.625" customWidth="1"/>
    <col min="6" max="6" width="24.75" bestFit="1" customWidth="1"/>
    <col min="7" max="7" width="25.375" customWidth="1"/>
    <col min="8" max="9" width="20.625" customWidth="1"/>
    <col min="10" max="10" width="25.875" customWidth="1"/>
    <col min="11" max="11" width="10.625" customWidth="1"/>
  </cols>
  <sheetData>
    <row r="5" spans="1:9" x14ac:dyDescent="0.3">
      <c r="A5" s="2" t="s">
        <v>15</v>
      </c>
      <c r="B5" s="1"/>
      <c r="C5" s="1"/>
    </row>
    <row r="6" spans="1:9" x14ac:dyDescent="0.3">
      <c r="A6" t="s">
        <v>5</v>
      </c>
      <c r="B6" t="s">
        <v>6</v>
      </c>
      <c r="C6" t="s">
        <v>50</v>
      </c>
      <c r="D6" t="s">
        <v>7</v>
      </c>
      <c r="E6" t="s">
        <v>8</v>
      </c>
      <c r="F6" t="s">
        <v>9</v>
      </c>
      <c r="G6" t="s">
        <v>10</v>
      </c>
      <c r="H6" t="s">
        <v>1</v>
      </c>
      <c r="I6" t="s">
        <v>0</v>
      </c>
    </row>
    <row r="7" spans="1:9" x14ac:dyDescent="0.3">
      <c r="A7">
        <v>1</v>
      </c>
      <c r="B7" t="s">
        <v>21</v>
      </c>
      <c r="C7" t="s">
        <v>22</v>
      </c>
      <c r="D7">
        <v>20</v>
      </c>
      <c r="E7" s="4">
        <v>46172.427865972226</v>
      </c>
      <c r="F7" s="5">
        <v>0.04</v>
      </c>
      <c r="G7" s="5">
        <v>0</v>
      </c>
      <c r="H7" s="3" t="b">
        <v>1</v>
      </c>
    </row>
    <row r="8" spans="1:9" x14ac:dyDescent="0.3">
      <c r="A8">
        <v>2</v>
      </c>
      <c r="B8" t="s">
        <v>21</v>
      </c>
      <c r="C8" t="s">
        <v>23</v>
      </c>
      <c r="D8">
        <v>19</v>
      </c>
      <c r="E8" s="4">
        <v>46172.427865972226</v>
      </c>
      <c r="F8" s="5">
        <v>0</v>
      </c>
      <c r="G8" s="5">
        <v>0.03</v>
      </c>
      <c r="H8" s="3" t="b">
        <v>1</v>
      </c>
    </row>
    <row r="19" spans="1:7" x14ac:dyDescent="0.3">
      <c r="A19" s="2" t="s">
        <v>16</v>
      </c>
      <c r="B19" s="1"/>
      <c r="C19" s="1"/>
    </row>
    <row r="20" spans="1:7" x14ac:dyDescent="0.3">
      <c r="A20" t="s">
        <v>5</v>
      </c>
      <c r="B20" t="s">
        <v>11</v>
      </c>
      <c r="C20" t="s">
        <v>2</v>
      </c>
      <c r="D20" t="s">
        <v>3</v>
      </c>
      <c r="E20" t="s">
        <v>12</v>
      </c>
      <c r="F20" t="s">
        <v>1</v>
      </c>
      <c r="G20" t="s">
        <v>0</v>
      </c>
    </row>
    <row r="21" spans="1:7" x14ac:dyDescent="0.3">
      <c r="A21">
        <v>1</v>
      </c>
      <c r="B21">
        <v>1</v>
      </c>
      <c r="C21" t="s">
        <v>24</v>
      </c>
      <c r="D21">
        <v>8</v>
      </c>
      <c r="E21" s="3" t="b">
        <v>0</v>
      </c>
      <c r="F21" s="3" t="b">
        <v>1</v>
      </c>
    </row>
    <row r="22" spans="1:7" x14ac:dyDescent="0.3">
      <c r="A22">
        <v>1</v>
      </c>
      <c r="B22">
        <v>2</v>
      </c>
      <c r="C22" t="s">
        <v>24</v>
      </c>
      <c r="D22">
        <v>4</v>
      </c>
      <c r="E22" s="3" t="b">
        <v>0</v>
      </c>
      <c r="F22" s="3" t="b">
        <v>1</v>
      </c>
    </row>
    <row r="23" spans="1:7" x14ac:dyDescent="0.3">
      <c r="A23">
        <v>1</v>
      </c>
      <c r="B23">
        <v>3</v>
      </c>
      <c r="C23" t="s">
        <v>24</v>
      </c>
      <c r="D23">
        <v>4</v>
      </c>
      <c r="E23" s="3" t="b">
        <v>0</v>
      </c>
      <c r="F23" s="3" t="b">
        <v>1</v>
      </c>
    </row>
    <row r="24" spans="1:7" x14ac:dyDescent="0.3">
      <c r="A24">
        <v>1</v>
      </c>
      <c r="B24">
        <v>4</v>
      </c>
      <c r="C24" t="s">
        <v>24</v>
      </c>
      <c r="D24">
        <v>2</v>
      </c>
      <c r="E24" s="3" t="b">
        <v>0</v>
      </c>
      <c r="F24" s="3" t="b">
        <v>1</v>
      </c>
    </row>
    <row r="25" spans="1:7" x14ac:dyDescent="0.3">
      <c r="A25">
        <v>1</v>
      </c>
      <c r="B25">
        <v>5</v>
      </c>
      <c r="C25" t="s">
        <v>25</v>
      </c>
      <c r="D25">
        <v>1</v>
      </c>
      <c r="E25" s="3" t="b">
        <v>0</v>
      </c>
      <c r="F25" s="3" t="b">
        <v>1</v>
      </c>
    </row>
    <row r="26" spans="1:7" x14ac:dyDescent="0.3">
      <c r="A26">
        <v>1</v>
      </c>
      <c r="B26">
        <v>6</v>
      </c>
      <c r="C26" t="s">
        <v>26</v>
      </c>
      <c r="D26">
        <v>1</v>
      </c>
      <c r="E26" s="3" t="b">
        <v>0</v>
      </c>
      <c r="F26" s="3" t="b">
        <v>1</v>
      </c>
    </row>
    <row r="27" spans="1:7" x14ac:dyDescent="0.3">
      <c r="A27">
        <v>1</v>
      </c>
      <c r="B27">
        <v>7</v>
      </c>
      <c r="C27" t="s">
        <v>26</v>
      </c>
      <c r="D27">
        <v>1</v>
      </c>
      <c r="E27" s="3" t="b">
        <v>0</v>
      </c>
      <c r="F27" s="3" t="b">
        <v>1</v>
      </c>
    </row>
    <row r="28" spans="1:7" x14ac:dyDescent="0.3">
      <c r="A28">
        <v>1</v>
      </c>
      <c r="B28">
        <v>8</v>
      </c>
      <c r="C28" t="s">
        <v>27</v>
      </c>
      <c r="D28">
        <v>1</v>
      </c>
      <c r="E28" s="3" t="b">
        <v>0</v>
      </c>
      <c r="F28" s="3" t="b">
        <v>1</v>
      </c>
    </row>
    <row r="29" spans="1:7" x14ac:dyDescent="0.3">
      <c r="A29">
        <v>1</v>
      </c>
      <c r="B29">
        <v>9</v>
      </c>
      <c r="C29" t="s">
        <v>27</v>
      </c>
      <c r="D29">
        <v>1</v>
      </c>
      <c r="E29" s="3" t="b">
        <v>0</v>
      </c>
      <c r="F29" s="3" t="b">
        <v>1</v>
      </c>
    </row>
    <row r="30" spans="1:7" x14ac:dyDescent="0.3">
      <c r="A30">
        <v>1</v>
      </c>
      <c r="B30">
        <v>10</v>
      </c>
      <c r="C30" t="s">
        <v>28</v>
      </c>
      <c r="D30">
        <v>2</v>
      </c>
      <c r="E30" s="3" t="b">
        <v>0</v>
      </c>
      <c r="F30" s="3" t="b">
        <v>1</v>
      </c>
    </row>
    <row r="31" spans="1:7" x14ac:dyDescent="0.3">
      <c r="A31">
        <v>1</v>
      </c>
      <c r="B31">
        <v>11</v>
      </c>
      <c r="C31" t="s">
        <v>28</v>
      </c>
      <c r="D31">
        <v>2</v>
      </c>
      <c r="E31" s="3" t="b">
        <v>0</v>
      </c>
      <c r="F31" s="3" t="b">
        <v>1</v>
      </c>
    </row>
    <row r="32" spans="1:7" x14ac:dyDescent="0.3">
      <c r="A32">
        <v>1</v>
      </c>
      <c r="B32">
        <v>12</v>
      </c>
      <c r="C32" t="s">
        <v>28</v>
      </c>
      <c r="D32">
        <v>2</v>
      </c>
      <c r="E32" s="3" t="b">
        <v>0</v>
      </c>
      <c r="F32" s="3" t="b">
        <v>1</v>
      </c>
    </row>
    <row r="33" spans="1:7" x14ac:dyDescent="0.3">
      <c r="A33">
        <v>1</v>
      </c>
      <c r="B33">
        <v>13</v>
      </c>
      <c r="C33" t="s">
        <v>28</v>
      </c>
      <c r="D33">
        <v>2</v>
      </c>
      <c r="E33" s="3" t="b">
        <v>0</v>
      </c>
      <c r="F33" s="3" t="b">
        <v>0</v>
      </c>
      <c r="G33" t="s">
        <v>29</v>
      </c>
    </row>
    <row r="34" spans="1:7" x14ac:dyDescent="0.3">
      <c r="A34">
        <v>2</v>
      </c>
      <c r="B34">
        <v>1</v>
      </c>
      <c r="C34" t="s">
        <v>24</v>
      </c>
      <c r="D34">
        <v>1</v>
      </c>
      <c r="E34" s="3" t="b">
        <v>0</v>
      </c>
      <c r="F34" s="3" t="b">
        <v>1</v>
      </c>
    </row>
    <row r="35" spans="1:7" x14ac:dyDescent="0.3">
      <c r="A35">
        <v>2</v>
      </c>
      <c r="B35">
        <v>2</v>
      </c>
      <c r="C35" t="s">
        <v>25</v>
      </c>
      <c r="D35">
        <v>1</v>
      </c>
      <c r="E35" s="3" t="b">
        <v>0</v>
      </c>
      <c r="F35" s="3" t="b">
        <v>1</v>
      </c>
    </row>
    <row r="36" spans="1:7" x14ac:dyDescent="0.3">
      <c r="A36">
        <v>2</v>
      </c>
      <c r="B36">
        <v>3</v>
      </c>
      <c r="C36" t="s">
        <v>30</v>
      </c>
      <c r="D36">
        <v>2</v>
      </c>
      <c r="E36" s="3" t="b">
        <v>0</v>
      </c>
      <c r="F36" s="3" t="b">
        <v>1</v>
      </c>
    </row>
    <row r="37" spans="1:7" x14ac:dyDescent="0.3">
      <c r="A37">
        <v>2</v>
      </c>
      <c r="B37">
        <v>4</v>
      </c>
      <c r="C37" t="s">
        <v>31</v>
      </c>
      <c r="D37">
        <v>2</v>
      </c>
      <c r="E37" s="3" t="b">
        <v>0</v>
      </c>
      <c r="F37" s="3" t="b">
        <v>1</v>
      </c>
    </row>
    <row r="38" spans="1:7" x14ac:dyDescent="0.3">
      <c r="A38">
        <v>2</v>
      </c>
      <c r="B38">
        <v>5</v>
      </c>
      <c r="C38" t="s">
        <v>32</v>
      </c>
      <c r="D38">
        <v>1</v>
      </c>
      <c r="E38" s="3" t="b">
        <v>0</v>
      </c>
      <c r="F38" s="3" t="b">
        <v>1</v>
      </c>
    </row>
    <row r="39" spans="1:7" x14ac:dyDescent="0.3">
      <c r="A39">
        <v>2</v>
      </c>
      <c r="B39">
        <v>6</v>
      </c>
      <c r="C39" t="s">
        <v>33</v>
      </c>
      <c r="D39">
        <v>2</v>
      </c>
      <c r="E39" s="3" t="b">
        <v>0</v>
      </c>
      <c r="F39" s="3" t="b">
        <v>1</v>
      </c>
    </row>
    <row r="40" spans="1:7" x14ac:dyDescent="0.3">
      <c r="A40">
        <v>2</v>
      </c>
      <c r="B40">
        <v>7</v>
      </c>
      <c r="C40" t="s">
        <v>33</v>
      </c>
      <c r="D40">
        <v>2</v>
      </c>
      <c r="E40" s="3" t="b">
        <v>0</v>
      </c>
      <c r="F40" s="3" t="b">
        <v>1</v>
      </c>
    </row>
    <row r="41" spans="1:7" x14ac:dyDescent="0.3">
      <c r="A41">
        <v>2</v>
      </c>
      <c r="B41">
        <v>8</v>
      </c>
      <c r="C41" t="s">
        <v>33</v>
      </c>
      <c r="D41">
        <v>2</v>
      </c>
      <c r="E41" s="3" t="b">
        <v>0</v>
      </c>
      <c r="F41" s="3" t="b">
        <v>1</v>
      </c>
    </row>
    <row r="42" spans="1:7" x14ac:dyDescent="0.3">
      <c r="A42">
        <v>2</v>
      </c>
      <c r="B42">
        <v>9</v>
      </c>
      <c r="C42" t="s">
        <v>33</v>
      </c>
      <c r="D42">
        <v>2</v>
      </c>
      <c r="E42" s="3" t="b">
        <v>0</v>
      </c>
      <c r="F42" s="3" t="b">
        <v>1</v>
      </c>
    </row>
    <row r="43" spans="1:7" x14ac:dyDescent="0.3">
      <c r="A43">
        <v>2</v>
      </c>
      <c r="B43">
        <v>10</v>
      </c>
      <c r="C43" t="s">
        <v>33</v>
      </c>
      <c r="D43">
        <v>2</v>
      </c>
      <c r="E43" s="3" t="b">
        <v>0</v>
      </c>
      <c r="F43" s="3" t="b">
        <v>1</v>
      </c>
    </row>
    <row r="60" spans="1:7" x14ac:dyDescent="0.3">
      <c r="A60" s="2" t="s">
        <v>17</v>
      </c>
      <c r="B60" s="1"/>
      <c r="C60" s="1"/>
    </row>
    <row r="61" spans="1:7" x14ac:dyDescent="0.3">
      <c r="A61" t="s">
        <v>5</v>
      </c>
      <c r="B61" t="s">
        <v>11</v>
      </c>
      <c r="C61" t="s">
        <v>49</v>
      </c>
      <c r="D61" t="s">
        <v>4</v>
      </c>
      <c r="E61" t="s">
        <v>13</v>
      </c>
      <c r="F61" t="s">
        <v>1</v>
      </c>
      <c r="G61" t="s">
        <v>0</v>
      </c>
    </row>
    <row r="62" spans="1:7" x14ac:dyDescent="0.3">
      <c r="A62">
        <v>1</v>
      </c>
      <c r="B62">
        <v>1</v>
      </c>
      <c r="C62" t="s">
        <v>34</v>
      </c>
      <c r="D62">
        <v>2</v>
      </c>
      <c r="E62" s="5">
        <v>1</v>
      </c>
      <c r="F62" s="3" t="b">
        <v>1</v>
      </c>
    </row>
    <row r="63" spans="1:7" x14ac:dyDescent="0.3">
      <c r="A63">
        <v>1</v>
      </c>
      <c r="B63">
        <v>2</v>
      </c>
      <c r="C63" t="s">
        <v>34</v>
      </c>
      <c r="D63">
        <v>2</v>
      </c>
      <c r="E63" s="5">
        <v>1</v>
      </c>
      <c r="F63" s="3" t="b">
        <v>1</v>
      </c>
    </row>
    <row r="64" spans="1:7" x14ac:dyDescent="0.3">
      <c r="A64">
        <v>1</v>
      </c>
      <c r="B64">
        <v>3</v>
      </c>
      <c r="C64" t="s">
        <v>34</v>
      </c>
      <c r="D64">
        <v>2</v>
      </c>
      <c r="E64" s="5">
        <v>1</v>
      </c>
      <c r="F64" s="3" t="b">
        <v>1</v>
      </c>
    </row>
    <row r="65" spans="1:6" x14ac:dyDescent="0.3">
      <c r="A65">
        <v>1</v>
      </c>
      <c r="B65">
        <v>4</v>
      </c>
      <c r="C65" t="s">
        <v>34</v>
      </c>
      <c r="D65">
        <v>2</v>
      </c>
      <c r="E65" s="5">
        <v>1</v>
      </c>
      <c r="F65" s="3" t="b">
        <v>1</v>
      </c>
    </row>
    <row r="66" spans="1:6" x14ac:dyDescent="0.3">
      <c r="A66">
        <v>1</v>
      </c>
      <c r="B66">
        <v>5</v>
      </c>
      <c r="C66" t="s">
        <v>35</v>
      </c>
      <c r="D66">
        <v>2</v>
      </c>
      <c r="E66" s="5">
        <v>1</v>
      </c>
      <c r="F66" s="3" t="b">
        <v>1</v>
      </c>
    </row>
    <row r="67" spans="1:6" x14ac:dyDescent="0.3">
      <c r="A67">
        <v>1</v>
      </c>
      <c r="B67">
        <v>6</v>
      </c>
      <c r="C67" s="7" t="s">
        <v>47</v>
      </c>
      <c r="D67">
        <v>2</v>
      </c>
      <c r="E67" s="5">
        <v>1</v>
      </c>
      <c r="F67" s="3" t="b">
        <v>1</v>
      </c>
    </row>
    <row r="68" spans="1:6" x14ac:dyDescent="0.3">
      <c r="A68">
        <v>1</v>
      </c>
      <c r="B68">
        <v>7</v>
      </c>
      <c r="C68" s="7" t="s">
        <v>47</v>
      </c>
      <c r="D68">
        <v>2</v>
      </c>
      <c r="E68" s="5">
        <v>0.5</v>
      </c>
      <c r="F68" s="3" t="b">
        <v>1</v>
      </c>
    </row>
    <row r="69" spans="1:6" x14ac:dyDescent="0.3">
      <c r="A69">
        <v>1</v>
      </c>
      <c r="B69">
        <v>7</v>
      </c>
      <c r="C69" t="s">
        <v>36</v>
      </c>
      <c r="D69">
        <v>2</v>
      </c>
      <c r="E69" s="5">
        <v>0.5</v>
      </c>
      <c r="F69" s="3" t="b">
        <v>1</v>
      </c>
    </row>
    <row r="70" spans="1:6" x14ac:dyDescent="0.3">
      <c r="A70">
        <v>1</v>
      </c>
      <c r="B70">
        <v>8</v>
      </c>
      <c r="C70" t="s">
        <v>51</v>
      </c>
      <c r="D70">
        <v>2</v>
      </c>
      <c r="E70" s="5">
        <v>0.1</v>
      </c>
      <c r="F70" s="3" t="b">
        <v>1</v>
      </c>
    </row>
    <row r="71" spans="1:6" x14ac:dyDescent="0.3">
      <c r="A71">
        <v>1</v>
      </c>
      <c r="B71">
        <v>8</v>
      </c>
      <c r="C71" t="s">
        <v>37</v>
      </c>
      <c r="D71">
        <v>2</v>
      </c>
      <c r="E71" s="5">
        <v>0.9</v>
      </c>
      <c r="F71" s="3" t="b">
        <v>1</v>
      </c>
    </row>
    <row r="72" spans="1:6" x14ac:dyDescent="0.3">
      <c r="A72">
        <v>1</v>
      </c>
      <c r="B72">
        <v>9</v>
      </c>
      <c r="C72" t="s">
        <v>38</v>
      </c>
      <c r="D72">
        <v>2</v>
      </c>
      <c r="E72" s="5">
        <v>0.1</v>
      </c>
      <c r="F72" s="3" t="b">
        <v>1</v>
      </c>
    </row>
    <row r="73" spans="1:6" x14ac:dyDescent="0.3">
      <c r="A73">
        <v>1</v>
      </c>
      <c r="B73">
        <v>9</v>
      </c>
      <c r="C73" t="s">
        <v>37</v>
      </c>
      <c r="D73">
        <v>2</v>
      </c>
      <c r="E73" s="5">
        <v>0.9</v>
      </c>
      <c r="F73" s="3" t="b">
        <v>1</v>
      </c>
    </row>
    <row r="74" spans="1:6" x14ac:dyDescent="0.3">
      <c r="A74">
        <v>1</v>
      </c>
      <c r="B74">
        <v>10</v>
      </c>
      <c r="C74" t="s">
        <v>39</v>
      </c>
      <c r="D74">
        <v>2</v>
      </c>
      <c r="E74" s="5">
        <v>1</v>
      </c>
      <c r="F74" s="3" t="b">
        <v>1</v>
      </c>
    </row>
    <row r="75" spans="1:6" x14ac:dyDescent="0.3">
      <c r="A75">
        <v>1</v>
      </c>
      <c r="B75">
        <v>11</v>
      </c>
      <c r="C75" t="s">
        <v>40</v>
      </c>
      <c r="D75">
        <v>2</v>
      </c>
      <c r="E75" s="5">
        <v>1</v>
      </c>
      <c r="F75" s="3" t="b">
        <v>1</v>
      </c>
    </row>
    <row r="76" spans="1:6" x14ac:dyDescent="0.3">
      <c r="A76">
        <v>1</v>
      </c>
      <c r="B76">
        <v>12</v>
      </c>
      <c r="C76" t="s">
        <v>40</v>
      </c>
      <c r="D76">
        <v>2</v>
      </c>
      <c r="E76" s="5">
        <v>1</v>
      </c>
      <c r="F76" s="3" t="b">
        <v>1</v>
      </c>
    </row>
    <row r="77" spans="1:6" x14ac:dyDescent="0.3">
      <c r="A77">
        <v>2</v>
      </c>
      <c r="B77">
        <v>1</v>
      </c>
      <c r="C77" t="s">
        <v>34</v>
      </c>
      <c r="D77">
        <v>0</v>
      </c>
      <c r="E77" s="5">
        <v>1</v>
      </c>
      <c r="F77" s="3" t="b">
        <v>1</v>
      </c>
    </row>
    <row r="78" spans="1:6" x14ac:dyDescent="0.3">
      <c r="A78">
        <v>2</v>
      </c>
      <c r="B78">
        <v>2</v>
      </c>
      <c r="C78" t="s">
        <v>35</v>
      </c>
      <c r="D78">
        <v>0</v>
      </c>
      <c r="E78" s="5">
        <v>1</v>
      </c>
      <c r="F78" s="3" t="b">
        <v>1</v>
      </c>
    </row>
    <row r="79" spans="1:6" x14ac:dyDescent="0.3">
      <c r="A79">
        <v>2</v>
      </c>
      <c r="B79">
        <v>3</v>
      </c>
      <c r="C79" t="s">
        <v>41</v>
      </c>
      <c r="D79">
        <v>0</v>
      </c>
      <c r="E79" s="5">
        <v>0.1</v>
      </c>
      <c r="F79" s="3" t="b">
        <v>1</v>
      </c>
    </row>
    <row r="80" spans="1:6" x14ac:dyDescent="0.3">
      <c r="A80">
        <v>2</v>
      </c>
      <c r="B80">
        <v>3</v>
      </c>
      <c r="C80" t="s">
        <v>43</v>
      </c>
      <c r="D80">
        <v>0</v>
      </c>
      <c r="E80" s="5">
        <v>0.1</v>
      </c>
      <c r="F80" s="3" t="b">
        <v>1</v>
      </c>
    </row>
    <row r="81" spans="1:7" x14ac:dyDescent="0.3">
      <c r="A81">
        <v>2</v>
      </c>
      <c r="B81">
        <v>3</v>
      </c>
      <c r="C81" t="s">
        <v>44</v>
      </c>
      <c r="D81">
        <v>0</v>
      </c>
      <c r="E81" s="5">
        <v>0.8</v>
      </c>
      <c r="F81" s="3" t="b">
        <v>1</v>
      </c>
    </row>
    <row r="82" spans="1:7" x14ac:dyDescent="0.3">
      <c r="A82">
        <v>2</v>
      </c>
      <c r="B82">
        <v>4</v>
      </c>
      <c r="C82" t="s">
        <v>42</v>
      </c>
      <c r="D82">
        <v>0</v>
      </c>
      <c r="E82" s="5">
        <v>1</v>
      </c>
      <c r="F82" s="3" t="b">
        <v>1</v>
      </c>
    </row>
    <row r="83" spans="1:7" x14ac:dyDescent="0.3">
      <c r="A83">
        <v>2</v>
      </c>
      <c r="B83">
        <v>5</v>
      </c>
      <c r="C83" t="s">
        <v>45</v>
      </c>
      <c r="D83">
        <v>0</v>
      </c>
      <c r="E83" s="5">
        <v>1</v>
      </c>
      <c r="F83" s="3" t="b">
        <v>1</v>
      </c>
    </row>
    <row r="94" spans="1:7" x14ac:dyDescent="0.3">
      <c r="A94" s="2" t="s">
        <v>76</v>
      </c>
      <c r="B94" s="1"/>
      <c r="C94" s="1"/>
    </row>
    <row r="95" spans="1:7" x14ac:dyDescent="0.3">
      <c r="A95" t="s">
        <v>5</v>
      </c>
      <c r="B95" t="s">
        <v>49</v>
      </c>
      <c r="C95" t="s">
        <v>4</v>
      </c>
      <c r="D95" t="s">
        <v>14</v>
      </c>
      <c r="E95" t="s">
        <v>77</v>
      </c>
      <c r="F95" t="s">
        <v>79</v>
      </c>
      <c r="G95" t="s">
        <v>78</v>
      </c>
    </row>
    <row r="96" spans="1:7" x14ac:dyDescent="0.3">
      <c r="A96">
        <v>1</v>
      </c>
      <c r="B96" t="s">
        <v>34</v>
      </c>
      <c r="C96">
        <v>2</v>
      </c>
      <c r="D96">
        <v>1</v>
      </c>
      <c r="E96" t="s">
        <v>46</v>
      </c>
      <c r="F96">
        <v>500000</v>
      </c>
    </row>
    <row r="97" spans="1:7" x14ac:dyDescent="0.3">
      <c r="A97">
        <v>1</v>
      </c>
      <c r="B97" t="s">
        <v>34</v>
      </c>
      <c r="C97">
        <v>2</v>
      </c>
      <c r="D97">
        <v>2</v>
      </c>
      <c r="E97" t="s">
        <v>80</v>
      </c>
      <c r="G97">
        <v>1</v>
      </c>
    </row>
    <row r="98" spans="1:7" x14ac:dyDescent="0.3">
      <c r="A98">
        <v>1</v>
      </c>
      <c r="B98" t="s">
        <v>35</v>
      </c>
      <c r="C98">
        <v>2</v>
      </c>
      <c r="D98">
        <v>1</v>
      </c>
      <c r="E98" t="s">
        <v>46</v>
      </c>
      <c r="G98">
        <v>1</v>
      </c>
    </row>
    <row r="99" spans="1:7" x14ac:dyDescent="0.3">
      <c r="A99">
        <v>1</v>
      </c>
      <c r="B99" t="s">
        <v>52</v>
      </c>
      <c r="C99">
        <v>2</v>
      </c>
      <c r="D99">
        <v>1</v>
      </c>
      <c r="E99" t="s">
        <v>46</v>
      </c>
      <c r="G99">
        <v>1</v>
      </c>
    </row>
    <row r="100" spans="1:7" x14ac:dyDescent="0.3">
      <c r="A100">
        <v>1</v>
      </c>
      <c r="B100" t="s">
        <v>38</v>
      </c>
      <c r="C100">
        <v>2</v>
      </c>
      <c r="D100">
        <v>1</v>
      </c>
      <c r="E100" t="s">
        <v>46</v>
      </c>
      <c r="G100">
        <v>1</v>
      </c>
    </row>
    <row r="101" spans="1:7" x14ac:dyDescent="0.3">
      <c r="A101">
        <v>1</v>
      </c>
      <c r="B101" t="s">
        <v>40</v>
      </c>
      <c r="C101">
        <v>2</v>
      </c>
      <c r="D101">
        <v>1</v>
      </c>
      <c r="E101" t="s">
        <v>46</v>
      </c>
      <c r="G101">
        <v>1</v>
      </c>
    </row>
    <row r="102" spans="1:7" x14ac:dyDescent="0.3">
      <c r="A102">
        <v>1</v>
      </c>
      <c r="B102" t="s">
        <v>37</v>
      </c>
      <c r="C102">
        <v>2</v>
      </c>
      <c r="D102">
        <v>1</v>
      </c>
      <c r="E102" t="s">
        <v>46</v>
      </c>
      <c r="G102">
        <v>1</v>
      </c>
    </row>
    <row r="103" spans="1:7" x14ac:dyDescent="0.3">
      <c r="A103">
        <v>1</v>
      </c>
      <c r="B103" t="s">
        <v>39</v>
      </c>
      <c r="C103">
        <v>2</v>
      </c>
      <c r="D103">
        <v>1</v>
      </c>
      <c r="E103" t="s">
        <v>46</v>
      </c>
      <c r="G103">
        <v>1</v>
      </c>
    </row>
    <row r="104" spans="1:7" x14ac:dyDescent="0.3">
      <c r="A104">
        <v>1</v>
      </c>
      <c r="B104" t="s">
        <v>51</v>
      </c>
      <c r="C104">
        <v>2</v>
      </c>
      <c r="D104">
        <v>1</v>
      </c>
      <c r="E104" t="s">
        <v>46</v>
      </c>
      <c r="G104">
        <v>1</v>
      </c>
    </row>
    <row r="105" spans="1:7" x14ac:dyDescent="0.3">
      <c r="A105">
        <v>1</v>
      </c>
      <c r="B105" t="s">
        <v>36</v>
      </c>
      <c r="C105">
        <v>2</v>
      </c>
      <c r="D105">
        <v>1</v>
      </c>
      <c r="E105" t="s">
        <v>46</v>
      </c>
      <c r="G105">
        <v>1</v>
      </c>
    </row>
    <row r="106" spans="1:7" x14ac:dyDescent="0.3">
      <c r="A106">
        <v>1</v>
      </c>
      <c r="B106" t="s">
        <v>47</v>
      </c>
      <c r="C106">
        <v>2</v>
      </c>
      <c r="D106">
        <v>1</v>
      </c>
      <c r="E106" t="s">
        <v>46</v>
      </c>
      <c r="G106">
        <v>1</v>
      </c>
    </row>
    <row r="107" spans="1:7" x14ac:dyDescent="0.3">
      <c r="A107">
        <v>2</v>
      </c>
      <c r="B107" t="s">
        <v>34</v>
      </c>
      <c r="C107">
        <v>0</v>
      </c>
      <c r="D107">
        <v>1</v>
      </c>
      <c r="E107" t="s">
        <v>46</v>
      </c>
      <c r="G107">
        <v>1</v>
      </c>
    </row>
    <row r="108" spans="1:7" x14ac:dyDescent="0.3">
      <c r="A108">
        <v>2</v>
      </c>
      <c r="B108" t="s">
        <v>35</v>
      </c>
      <c r="C108">
        <v>0</v>
      </c>
      <c r="D108">
        <v>1</v>
      </c>
      <c r="E108" t="s">
        <v>46</v>
      </c>
      <c r="G108">
        <v>1</v>
      </c>
    </row>
    <row r="109" spans="1:7" x14ac:dyDescent="0.3">
      <c r="A109">
        <v>2</v>
      </c>
      <c r="B109" t="s">
        <v>41</v>
      </c>
      <c r="C109">
        <v>0</v>
      </c>
      <c r="D109">
        <v>1</v>
      </c>
      <c r="E109" t="s">
        <v>46</v>
      </c>
      <c r="G109">
        <v>1</v>
      </c>
    </row>
    <row r="110" spans="1:7" x14ac:dyDescent="0.3">
      <c r="A110">
        <v>2</v>
      </c>
      <c r="B110" t="s">
        <v>43</v>
      </c>
      <c r="C110">
        <v>0</v>
      </c>
      <c r="D110">
        <v>1</v>
      </c>
      <c r="E110" t="s">
        <v>46</v>
      </c>
      <c r="G110">
        <v>1</v>
      </c>
    </row>
    <row r="111" spans="1:7" x14ac:dyDescent="0.3">
      <c r="A111">
        <v>2</v>
      </c>
      <c r="B111" t="s">
        <v>44</v>
      </c>
      <c r="C111">
        <v>0</v>
      </c>
      <c r="D111">
        <v>1</v>
      </c>
      <c r="E111" t="s">
        <v>46</v>
      </c>
      <c r="G111">
        <v>1</v>
      </c>
    </row>
    <row r="112" spans="1:7" x14ac:dyDescent="0.3">
      <c r="A112">
        <v>2</v>
      </c>
      <c r="B112" t="s">
        <v>42</v>
      </c>
      <c r="C112">
        <v>0</v>
      </c>
      <c r="D112">
        <v>1</v>
      </c>
      <c r="E112" t="s">
        <v>46</v>
      </c>
      <c r="G112">
        <v>1</v>
      </c>
    </row>
    <row r="113" spans="1:7" x14ac:dyDescent="0.3">
      <c r="A113">
        <v>2</v>
      </c>
      <c r="B113" t="s">
        <v>45</v>
      </c>
      <c r="C113">
        <v>0</v>
      </c>
      <c r="D113">
        <v>1</v>
      </c>
      <c r="E113" t="s">
        <v>48</v>
      </c>
      <c r="G113">
        <v>1</v>
      </c>
    </row>
    <row r="114" spans="1:7" x14ac:dyDescent="0.3">
      <c r="A114">
        <v>2</v>
      </c>
      <c r="B114" t="s">
        <v>45</v>
      </c>
      <c r="C114">
        <v>0</v>
      </c>
      <c r="D114">
        <v>2</v>
      </c>
      <c r="E114" t="s">
        <v>46</v>
      </c>
      <c r="G114">
        <v>1</v>
      </c>
    </row>
    <row r="135" spans="1:3" x14ac:dyDescent="0.3">
      <c r="A135" s="2"/>
      <c r="B135" s="1"/>
      <c r="C135" s="1"/>
    </row>
    <row r="168" spans="1:4" x14ac:dyDescent="0.3">
      <c r="A168" s="2" t="s">
        <v>18</v>
      </c>
      <c r="B168" s="1"/>
      <c r="C168" s="1"/>
    </row>
    <row r="169" spans="1:4" x14ac:dyDescent="0.3">
      <c r="A169" t="s">
        <v>50</v>
      </c>
      <c r="B169" t="s">
        <v>49</v>
      </c>
      <c r="C169" t="s">
        <v>4</v>
      </c>
      <c r="D169" t="s">
        <v>19</v>
      </c>
    </row>
    <row r="170" spans="1:4" x14ac:dyDescent="0.3">
      <c r="A170" t="s">
        <v>22</v>
      </c>
      <c r="B170" t="s">
        <v>34</v>
      </c>
      <c r="C170">
        <v>2</v>
      </c>
      <c r="D170" s="6">
        <v>0.26</v>
      </c>
    </row>
    <row r="171" spans="1:4" x14ac:dyDescent="0.3">
      <c r="A171" t="s">
        <v>22</v>
      </c>
      <c r="B171" t="s">
        <v>35</v>
      </c>
      <c r="C171">
        <v>2</v>
      </c>
      <c r="D171" s="6">
        <v>0.38</v>
      </c>
    </row>
    <row r="172" spans="1:4" x14ac:dyDescent="0.3">
      <c r="A172" t="s">
        <v>22</v>
      </c>
      <c r="B172" t="s">
        <v>39</v>
      </c>
      <c r="C172">
        <v>2</v>
      </c>
      <c r="D172" s="6">
        <v>31.25</v>
      </c>
    </row>
    <row r="173" spans="1:4" x14ac:dyDescent="0.3">
      <c r="A173" t="s">
        <v>22</v>
      </c>
      <c r="B173" t="s">
        <v>51</v>
      </c>
      <c r="C173">
        <v>2</v>
      </c>
      <c r="D173" s="6">
        <v>6500</v>
      </c>
    </row>
    <row r="174" spans="1:4" x14ac:dyDescent="0.3">
      <c r="A174" t="s">
        <v>22</v>
      </c>
      <c r="B174" t="s">
        <v>40</v>
      </c>
      <c r="C174">
        <v>2</v>
      </c>
      <c r="D174" s="6">
        <v>11</v>
      </c>
    </row>
    <row r="175" spans="1:4" x14ac:dyDescent="0.3">
      <c r="A175" t="s">
        <v>22</v>
      </c>
      <c r="B175" t="s">
        <v>37</v>
      </c>
      <c r="C175">
        <v>2</v>
      </c>
      <c r="D175" s="6">
        <v>14.5</v>
      </c>
    </row>
    <row r="176" spans="1:4" x14ac:dyDescent="0.3">
      <c r="A176" t="s">
        <v>22</v>
      </c>
      <c r="B176" t="s">
        <v>52</v>
      </c>
      <c r="C176">
        <v>2</v>
      </c>
      <c r="D176" s="6">
        <v>1.33</v>
      </c>
    </row>
    <row r="177" spans="1:4" x14ac:dyDescent="0.3">
      <c r="A177" t="s">
        <v>22</v>
      </c>
      <c r="B177" t="s">
        <v>38</v>
      </c>
      <c r="C177">
        <v>2</v>
      </c>
      <c r="D177" s="6">
        <v>8.4</v>
      </c>
    </row>
    <row r="178" spans="1:4" x14ac:dyDescent="0.3">
      <c r="A178" t="s">
        <v>22</v>
      </c>
      <c r="B178" t="s">
        <v>36</v>
      </c>
      <c r="C178">
        <v>2</v>
      </c>
      <c r="D178" s="6">
        <v>87.5</v>
      </c>
    </row>
    <row r="179" spans="1:4" x14ac:dyDescent="0.3">
      <c r="A179" t="s">
        <v>22</v>
      </c>
      <c r="B179" t="s">
        <v>47</v>
      </c>
      <c r="C179">
        <v>2</v>
      </c>
      <c r="D179" s="6">
        <v>895</v>
      </c>
    </row>
    <row r="180" spans="1:4" x14ac:dyDescent="0.3">
      <c r="A180" t="s">
        <v>23</v>
      </c>
      <c r="B180" t="s">
        <v>34</v>
      </c>
      <c r="C180">
        <v>0</v>
      </c>
      <c r="D180" s="6">
        <v>0.24</v>
      </c>
    </row>
    <row r="181" spans="1:4" x14ac:dyDescent="0.3">
      <c r="A181" t="s">
        <v>23</v>
      </c>
      <c r="B181" t="s">
        <v>35</v>
      </c>
      <c r="C181">
        <v>0</v>
      </c>
      <c r="D181" s="6">
        <v>0.34</v>
      </c>
    </row>
    <row r="182" spans="1:4" x14ac:dyDescent="0.3">
      <c r="A182" t="s">
        <v>23</v>
      </c>
      <c r="B182" t="s">
        <v>41</v>
      </c>
      <c r="C182">
        <v>0</v>
      </c>
      <c r="D182" s="6">
        <v>0.23899999999999999</v>
      </c>
    </row>
    <row r="183" spans="1:4" x14ac:dyDescent="0.3">
      <c r="A183" t="s">
        <v>23</v>
      </c>
      <c r="B183" t="s">
        <v>43</v>
      </c>
      <c r="C183">
        <v>0</v>
      </c>
      <c r="D183" s="6">
        <v>1.57</v>
      </c>
    </row>
    <row r="184" spans="1:4" x14ac:dyDescent="0.3">
      <c r="A184" t="s">
        <v>23</v>
      </c>
      <c r="B184" t="s">
        <v>44</v>
      </c>
      <c r="C184">
        <v>0</v>
      </c>
      <c r="D184" s="6">
        <v>2.2999999999999998</v>
      </c>
    </row>
    <row r="185" spans="1:4" x14ac:dyDescent="0.3">
      <c r="A185" t="s">
        <v>23</v>
      </c>
      <c r="B185" t="s">
        <v>42</v>
      </c>
      <c r="C185">
        <v>0</v>
      </c>
      <c r="D185" s="6">
        <v>19.2</v>
      </c>
    </row>
    <row r="186" spans="1:4" x14ac:dyDescent="0.3">
      <c r="A186" t="s">
        <v>23</v>
      </c>
      <c r="B186" t="s">
        <v>45</v>
      </c>
      <c r="C186">
        <v>0</v>
      </c>
      <c r="D186" s="6">
        <v>34</v>
      </c>
    </row>
    <row r="187" spans="1:4" x14ac:dyDescent="0.3">
      <c r="A187" t="s">
        <v>23</v>
      </c>
      <c r="B187" t="s">
        <v>63</v>
      </c>
      <c r="C187">
        <v>0</v>
      </c>
      <c r="D187" s="6">
        <v>0.35399999999999998</v>
      </c>
    </row>
    <row r="188" spans="1:4" x14ac:dyDescent="0.3">
      <c r="D188" s="6"/>
    </row>
    <row r="189" spans="1:4" x14ac:dyDescent="0.3">
      <c r="D189" s="6"/>
    </row>
    <row r="190" spans="1:4" x14ac:dyDescent="0.3">
      <c r="D190" s="6"/>
    </row>
    <row r="191" spans="1:4" x14ac:dyDescent="0.3">
      <c r="D191" s="6"/>
    </row>
    <row r="192" spans="1:4" x14ac:dyDescent="0.3">
      <c r="D192" s="6"/>
    </row>
    <row r="193" spans="1:4" x14ac:dyDescent="0.3">
      <c r="D193" s="6"/>
    </row>
    <row r="196" spans="1:4" x14ac:dyDescent="0.3">
      <c r="A196" s="2" t="s">
        <v>20</v>
      </c>
      <c r="B196" s="1"/>
      <c r="C196" s="1"/>
    </row>
    <row r="197" spans="1:4" x14ac:dyDescent="0.3">
      <c r="A197" t="s">
        <v>50</v>
      </c>
      <c r="B197" t="s">
        <v>49</v>
      </c>
      <c r="C197" t="s">
        <v>4</v>
      </c>
      <c r="D197" t="s">
        <v>19</v>
      </c>
    </row>
    <row r="198" spans="1:4" x14ac:dyDescent="0.3">
      <c r="A198" t="s">
        <v>23</v>
      </c>
      <c r="B198" t="s">
        <v>45</v>
      </c>
      <c r="C198">
        <v>0</v>
      </c>
      <c r="D198" s="6">
        <v>59.38</v>
      </c>
    </row>
  </sheetData>
  <phoneticPr fontId="2" type="noConversion"/>
  <dataValidations count="9">
    <dataValidation type="whole" operator="greaterThan" allowBlank="1" showInputMessage="1" showErrorMessage="1" prompt="Positive Integer" sqref="A7:A8 D7:D8 D21:D43" xr:uid="{99DA1997-5977-4E70-8A4D-DD9EC087DDFF}">
      <formula1>0</formula1>
    </dataValidation>
    <dataValidation type="decimal" allowBlank="1" showInputMessage="1" showErrorMessage="1" prompt="Percentage greater than 0" sqref="E62:E83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decimal" allowBlank="1" showInputMessage="1" showErrorMessage="1" prompt="Percentage" sqref="F7:G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C198 C170:C193 D62:D83 C98:D114 C96:D96" xr:uid="{8A7F0B46-EC6F-4348-9CD0-1A4A6AB9B057}">
      <formula1>0</formula1>
    </dataValidation>
    <dataValidation type="decimal" allowBlank="1" showInputMessage="1" showErrorMessage="1" prompt="Fraction between 0 and 1" sqref="G96:G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F96:F114" xr:uid="{699F147C-A98A-4CDA-BC05-72AD964C4511}">
      <formula1>0</formula1>
    </dataValidation>
    <dataValidation operator="greaterThanOrEqual" allowBlank="1" showErrorMessage="1" sqref="E96 E98:E114" xr:uid="{5C010170-0364-478E-8903-FBBE33DE358F}"/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58</v>
      </c>
      <c r="B3" t="s">
        <v>59</v>
      </c>
      <c r="C3" t="s">
        <v>60</v>
      </c>
      <c r="D3" t="s">
        <v>61</v>
      </c>
      <c r="E3" t="s">
        <v>73</v>
      </c>
      <c r="F3" t="s">
        <v>74</v>
      </c>
      <c r="G3" t="s">
        <v>62</v>
      </c>
      <c r="H3" t="s">
        <v>75</v>
      </c>
      <c r="I3" t="s">
        <v>72</v>
      </c>
      <c r="Q3" t="s">
        <v>64</v>
      </c>
      <c r="R3" t="s">
        <v>65</v>
      </c>
      <c r="S3" t="s">
        <v>71</v>
      </c>
      <c r="T3" t="s">
        <v>66</v>
      </c>
      <c r="U3" t="s">
        <v>67</v>
      </c>
      <c r="V3" t="s">
        <v>68</v>
      </c>
      <c r="W3" t="s">
        <v>69</v>
      </c>
      <c r="X3" t="s">
        <v>70</v>
      </c>
    </row>
    <row r="4" spans="1:24" x14ac:dyDescent="0.3">
      <c r="A4" t="s">
        <v>34</v>
      </c>
      <c r="B4">
        <v>2</v>
      </c>
      <c r="C4">
        <v>48130.21</v>
      </c>
      <c r="D4">
        <f>0.15*C4</f>
        <v>7219.5315000000001</v>
      </c>
      <c r="E4">
        <f>Inputs!D170*C4*0.96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35</v>
      </c>
      <c r="B5">
        <v>2</v>
      </c>
      <c r="C5">
        <v>1694.2</v>
      </c>
      <c r="D5">
        <f>C5*0.2</f>
        <v>338.84000000000003</v>
      </c>
      <c r="E5">
        <f>Inputs!D171*C5*0.96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39</v>
      </c>
      <c r="B6">
        <v>2</v>
      </c>
      <c r="C6">
        <v>104.09</v>
      </c>
      <c r="D6">
        <f>5.3*C6</f>
        <v>551.67700000000002</v>
      </c>
      <c r="E6">
        <f>Inputs!D172*C6*0.96-Inputs!D187*10*Output!C6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40</v>
      </c>
      <c r="B7">
        <v>2</v>
      </c>
      <c r="C7">
        <v>437.19</v>
      </c>
      <c r="D7">
        <f>2.53*C7</f>
        <v>1106.0907</v>
      </c>
      <c r="E7">
        <f>Inputs!D174*C7*0.96-Inputs!D187*C7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38</v>
      </c>
      <c r="B8">
        <v>2</v>
      </c>
      <c r="C8">
        <f>320.87/3</f>
        <v>106.95666666666666</v>
      </c>
      <c r="D8">
        <f>2.58*C8</f>
        <v>275.94819999999999</v>
      </c>
      <c r="E8">
        <f>Inputs!D177*C8*0.96-Inputs!D187*C8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37</v>
      </c>
      <c r="B9">
        <v>2</v>
      </c>
      <c r="C9">
        <f>445.65/3</f>
        <v>148.54999999999998</v>
      </c>
      <c r="D9">
        <f>1.86*C9</f>
        <v>276.303</v>
      </c>
      <c r="E9">
        <f>Inputs!D175*C9*0.96-C9*Inputs!D187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51</v>
      </c>
      <c r="B10">
        <v>2</v>
      </c>
      <c r="C10">
        <f>124.78</f>
        <v>124.78</v>
      </c>
      <c r="D10">
        <f>13.27*C10</f>
        <v>1655.8306</v>
      </c>
      <c r="E10">
        <f>Inputs!D173*C10*0.96-1000*C10*Inputs!D187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47</v>
      </c>
      <c r="B11">
        <v>2</v>
      </c>
      <c r="C11">
        <v>3.83</v>
      </c>
      <c r="D11">
        <f>C11*198.35</f>
        <v>759.68049999999994</v>
      </c>
      <c r="E11">
        <f>Inputs!D179*C11*0.96-Inputs!D187*C11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A60F-C907-4D80-B084-CF98FE47725B}">
  <dimension ref="A1:D17"/>
  <sheetViews>
    <sheetView showGridLines="0" workbookViewId="0">
      <selection sqref="A1:D17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5.375" bestFit="1" customWidth="1"/>
  </cols>
  <sheetData>
    <row r="1" spans="1:4" x14ac:dyDescent="0.3">
      <c r="A1" t="s">
        <v>85</v>
      </c>
      <c r="B1" t="s">
        <v>58</v>
      </c>
      <c r="C1" t="s">
        <v>59</v>
      </c>
      <c r="D1" t="s">
        <v>94</v>
      </c>
    </row>
    <row r="2" spans="1:4" x14ac:dyDescent="0.3">
      <c r="A2">
        <v>1</v>
      </c>
      <c r="B2">
        <v>10</v>
      </c>
      <c r="C2">
        <v>2</v>
      </c>
      <c r="D2">
        <v>0.5</v>
      </c>
    </row>
    <row r="3" spans="1:4" x14ac:dyDescent="0.3">
      <c r="A3">
        <v>1</v>
      </c>
      <c r="B3">
        <v>102</v>
      </c>
      <c r="C3">
        <v>2</v>
      </c>
      <c r="D3">
        <v>0</v>
      </c>
    </row>
    <row r="4" spans="1:4" x14ac:dyDescent="0.3">
      <c r="A4">
        <v>1</v>
      </c>
      <c r="B4">
        <v>121</v>
      </c>
      <c r="C4">
        <v>2</v>
      </c>
      <c r="D4">
        <v>0.1</v>
      </c>
    </row>
    <row r="5" spans="1:4" x14ac:dyDescent="0.3">
      <c r="A5">
        <v>1</v>
      </c>
      <c r="B5">
        <v>145</v>
      </c>
      <c r="C5">
        <v>2</v>
      </c>
      <c r="D5">
        <v>0</v>
      </c>
    </row>
    <row r="6" spans="1:4" x14ac:dyDescent="0.3">
      <c r="A6">
        <v>1</v>
      </c>
      <c r="B6">
        <v>23</v>
      </c>
      <c r="C6">
        <v>2</v>
      </c>
      <c r="D6">
        <v>1.8</v>
      </c>
    </row>
    <row r="7" spans="1:4" x14ac:dyDescent="0.3">
      <c r="A7">
        <v>1</v>
      </c>
      <c r="B7">
        <v>62</v>
      </c>
      <c r="C7">
        <v>2</v>
      </c>
      <c r="D7">
        <v>20</v>
      </c>
    </row>
    <row r="8" spans="1:4" x14ac:dyDescent="0.3">
      <c r="A8">
        <v>1</v>
      </c>
      <c r="B8">
        <v>63</v>
      </c>
      <c r="C8">
        <v>2</v>
      </c>
      <c r="D8">
        <v>100</v>
      </c>
    </row>
    <row r="9" spans="1:4" x14ac:dyDescent="0.3">
      <c r="A9">
        <v>1</v>
      </c>
      <c r="B9">
        <v>69</v>
      </c>
      <c r="C9">
        <v>2</v>
      </c>
      <c r="D9">
        <v>1.5</v>
      </c>
    </row>
    <row r="10" spans="1:4" x14ac:dyDescent="0.3">
      <c r="A10">
        <v>1</v>
      </c>
      <c r="B10">
        <v>88</v>
      </c>
      <c r="C10">
        <v>2</v>
      </c>
      <c r="D10">
        <v>4</v>
      </c>
    </row>
    <row r="11" spans="1:4" x14ac:dyDescent="0.3">
      <c r="A11">
        <v>2</v>
      </c>
      <c r="B11">
        <v>102</v>
      </c>
      <c r="C11">
        <v>0</v>
      </c>
      <c r="D11">
        <v>0</v>
      </c>
    </row>
    <row r="12" spans="1:4" x14ac:dyDescent="0.3">
      <c r="A12">
        <v>2</v>
      </c>
      <c r="B12">
        <v>120</v>
      </c>
      <c r="C12">
        <v>0</v>
      </c>
      <c r="D12">
        <v>2.0000000000000004E-2</v>
      </c>
    </row>
    <row r="13" spans="1:4" x14ac:dyDescent="0.3">
      <c r="A13">
        <v>2</v>
      </c>
      <c r="B13">
        <v>134</v>
      </c>
      <c r="C13">
        <v>0</v>
      </c>
      <c r="D13">
        <v>2</v>
      </c>
    </row>
    <row r="14" spans="1:4" x14ac:dyDescent="0.3">
      <c r="A14">
        <v>2</v>
      </c>
      <c r="B14">
        <v>135</v>
      </c>
      <c r="C14">
        <v>0</v>
      </c>
      <c r="D14">
        <v>2.0000000000000004E-2</v>
      </c>
    </row>
    <row r="15" spans="1:4" x14ac:dyDescent="0.3">
      <c r="A15">
        <v>2</v>
      </c>
      <c r="B15">
        <v>145</v>
      </c>
      <c r="C15">
        <v>0</v>
      </c>
      <c r="D15">
        <v>0</v>
      </c>
    </row>
    <row r="16" spans="1:4" x14ac:dyDescent="0.3">
      <c r="A16">
        <v>2</v>
      </c>
      <c r="B16">
        <v>93</v>
      </c>
      <c r="C16">
        <v>0</v>
      </c>
      <c r="D16">
        <v>1</v>
      </c>
    </row>
    <row r="17" spans="1:4" x14ac:dyDescent="0.3">
      <c r="A17">
        <v>2</v>
      </c>
      <c r="B17">
        <v>94</v>
      </c>
      <c r="C17">
        <v>0</v>
      </c>
      <c r="D17">
        <v>1.6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D15"/>
  <sheetViews>
    <sheetView showGridLines="0" tabSelected="1" workbookViewId="0">
      <selection activeCell="H4" sqref="H4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6.125" bestFit="1" customWidth="1"/>
  </cols>
  <sheetData>
    <row r="1" spans="1:4" x14ac:dyDescent="0.3">
      <c r="A1" t="s">
        <v>85</v>
      </c>
      <c r="B1" t="s">
        <v>58</v>
      </c>
      <c r="C1" t="s">
        <v>59</v>
      </c>
      <c r="D1" t="s">
        <v>93</v>
      </c>
    </row>
    <row r="2" spans="1:4" x14ac:dyDescent="0.3">
      <c r="A2">
        <v>1</v>
      </c>
      <c r="B2">
        <v>102</v>
      </c>
      <c r="C2">
        <v>2</v>
      </c>
      <c r="D2">
        <v>5680.66</v>
      </c>
    </row>
    <row r="3" spans="1:4" x14ac:dyDescent="0.3">
      <c r="A3">
        <v>1</v>
      </c>
      <c r="B3">
        <v>116</v>
      </c>
      <c r="C3">
        <v>2</v>
      </c>
      <c r="D3">
        <v>0.2</v>
      </c>
    </row>
    <row r="4" spans="1:4" x14ac:dyDescent="0.3">
      <c r="A4">
        <v>1</v>
      </c>
      <c r="B4">
        <v>121</v>
      </c>
      <c r="C4">
        <v>2</v>
      </c>
      <c r="D4">
        <v>6</v>
      </c>
    </row>
    <row r="5" spans="1:4" x14ac:dyDescent="0.3">
      <c r="A5">
        <v>1</v>
      </c>
      <c r="B5">
        <v>145</v>
      </c>
      <c r="C5">
        <v>2</v>
      </c>
      <c r="D5">
        <v>44</v>
      </c>
    </row>
    <row r="6" spans="1:4" x14ac:dyDescent="0.3">
      <c r="A6">
        <v>1</v>
      </c>
      <c r="B6">
        <v>23</v>
      </c>
      <c r="C6">
        <v>2</v>
      </c>
      <c r="D6">
        <v>6.5</v>
      </c>
    </row>
    <row r="7" spans="1:4" x14ac:dyDescent="0.3">
      <c r="A7">
        <v>1</v>
      </c>
      <c r="B7">
        <v>62</v>
      </c>
      <c r="C7">
        <v>2</v>
      </c>
      <c r="D7">
        <v>20000</v>
      </c>
    </row>
    <row r="8" spans="1:4" x14ac:dyDescent="0.3">
      <c r="A8">
        <v>1</v>
      </c>
      <c r="B8">
        <v>63</v>
      </c>
      <c r="C8">
        <v>2</v>
      </c>
      <c r="D8">
        <v>9.375E-2</v>
      </c>
    </row>
    <row r="9" spans="1:4" x14ac:dyDescent="0.3">
      <c r="A9">
        <v>1</v>
      </c>
      <c r="B9">
        <v>88</v>
      </c>
      <c r="C9">
        <v>2</v>
      </c>
      <c r="D9">
        <v>1.8</v>
      </c>
    </row>
    <row r="10" spans="1:4" x14ac:dyDescent="0.3">
      <c r="A10">
        <v>2</v>
      </c>
      <c r="B10">
        <v>102</v>
      </c>
      <c r="C10">
        <v>0</v>
      </c>
      <c r="D10">
        <v>1</v>
      </c>
    </row>
    <row r="11" spans="1:4" x14ac:dyDescent="0.3">
      <c r="A11">
        <v>2</v>
      </c>
      <c r="B11">
        <v>120</v>
      </c>
      <c r="C11">
        <v>0</v>
      </c>
      <c r="D11">
        <v>1.62</v>
      </c>
    </row>
    <row r="12" spans="1:4" x14ac:dyDescent="0.3">
      <c r="A12">
        <v>2</v>
      </c>
      <c r="B12">
        <v>134</v>
      </c>
      <c r="C12">
        <v>0</v>
      </c>
      <c r="D12">
        <v>1</v>
      </c>
    </row>
    <row r="13" spans="1:4" x14ac:dyDescent="0.3">
      <c r="A13">
        <v>2</v>
      </c>
      <c r="B13">
        <v>135</v>
      </c>
      <c r="C13">
        <v>0</v>
      </c>
      <c r="D13">
        <v>2</v>
      </c>
    </row>
    <row r="14" spans="1:4" x14ac:dyDescent="0.3">
      <c r="A14">
        <v>2</v>
      </c>
      <c r="B14">
        <v>145</v>
      </c>
      <c r="C14">
        <v>0</v>
      </c>
      <c r="D14">
        <v>4.862000000000001</v>
      </c>
    </row>
    <row r="15" spans="1:4" x14ac:dyDescent="0.3">
      <c r="A15">
        <v>2</v>
      </c>
      <c r="B15">
        <v>94</v>
      </c>
      <c r="C15">
        <v>0</v>
      </c>
      <c r="D15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H1"/>
  <sheetViews>
    <sheetView showGridLines="0" workbookViewId="0">
      <selection activeCell="D6" sqref="D6"/>
    </sheetView>
  </sheetViews>
  <sheetFormatPr defaultRowHeight="16.5" x14ac:dyDescent="0.3"/>
  <cols>
    <col min="1" max="1" width="14.5" customWidth="1"/>
    <col min="2" max="2" width="19.875" customWidth="1"/>
    <col min="3" max="3" width="20" customWidth="1"/>
    <col min="4" max="4" width="23.375" customWidth="1"/>
    <col min="5" max="5" width="23.5" customWidth="1"/>
    <col min="6" max="6" width="25.375" customWidth="1"/>
    <col min="7" max="7" width="21.75" customWidth="1"/>
    <col min="8" max="8" width="25.25" customWidth="1"/>
  </cols>
  <sheetData>
    <row r="1" spans="1:8" x14ac:dyDescent="0.3">
      <c r="A1" s="8" t="s">
        <v>85</v>
      </c>
      <c r="B1" s="8" t="s">
        <v>101</v>
      </c>
      <c r="C1" s="8" t="s">
        <v>102</v>
      </c>
      <c r="D1" s="8" t="s">
        <v>103</v>
      </c>
      <c r="E1" s="8" t="s">
        <v>104</v>
      </c>
      <c r="F1" s="8" t="s">
        <v>93</v>
      </c>
      <c r="G1" s="8" t="s">
        <v>105</v>
      </c>
      <c r="H1" s="8" t="s">
        <v>106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H18"/>
  <sheetViews>
    <sheetView showGridLines="0" workbookViewId="0"/>
  </sheetViews>
  <sheetFormatPr defaultRowHeight="16.5" x14ac:dyDescent="0.3"/>
  <cols>
    <col min="1" max="1" width="14.875" bestFit="1" customWidth="1"/>
    <col min="2" max="2" width="19.875" bestFit="1" customWidth="1"/>
    <col min="3" max="3" width="13.75" bestFit="1" customWidth="1"/>
    <col min="4" max="4" width="13.875" bestFit="1" customWidth="1"/>
    <col min="5" max="5" width="24.875" bestFit="1" customWidth="1"/>
    <col min="6" max="6" width="23.5" bestFit="1" customWidth="1"/>
    <col min="7" max="7" width="26.125" bestFit="1" customWidth="1"/>
    <col min="8" max="8" width="25.375" bestFit="1" customWidth="1"/>
  </cols>
  <sheetData>
    <row r="1" spans="1:8" x14ac:dyDescent="0.3">
      <c r="A1" t="s">
        <v>85</v>
      </c>
      <c r="B1" t="s">
        <v>90</v>
      </c>
      <c r="C1" t="s">
        <v>58</v>
      </c>
      <c r="D1" t="s">
        <v>59</v>
      </c>
      <c r="E1" t="s">
        <v>91</v>
      </c>
      <c r="F1" t="s">
        <v>92</v>
      </c>
      <c r="G1" t="s">
        <v>93</v>
      </c>
      <c r="H1" t="s">
        <v>94</v>
      </c>
    </row>
    <row r="2" spans="1:8" x14ac:dyDescent="0.3">
      <c r="A2">
        <v>1</v>
      </c>
      <c r="B2">
        <v>0.5</v>
      </c>
      <c r="C2">
        <v>10</v>
      </c>
      <c r="D2">
        <v>2</v>
      </c>
      <c r="E2">
        <v>0</v>
      </c>
      <c r="F2">
        <v>0.5</v>
      </c>
      <c r="G2">
        <v>0</v>
      </c>
      <c r="H2">
        <v>0.5</v>
      </c>
    </row>
    <row r="3" spans="1:8" x14ac:dyDescent="0.3">
      <c r="A3">
        <v>1</v>
      </c>
      <c r="B3">
        <v>-5680.66</v>
      </c>
      <c r="C3">
        <v>102</v>
      </c>
      <c r="D3">
        <v>2</v>
      </c>
      <c r="E3">
        <v>5680.66</v>
      </c>
      <c r="F3">
        <v>0</v>
      </c>
      <c r="G3">
        <v>5680.66</v>
      </c>
      <c r="H3">
        <v>0</v>
      </c>
    </row>
    <row r="4" spans="1:8" x14ac:dyDescent="0.3">
      <c r="A4">
        <v>1</v>
      </c>
      <c r="B4">
        <v>-0.2</v>
      </c>
      <c r="C4">
        <v>116</v>
      </c>
      <c r="D4">
        <v>2</v>
      </c>
      <c r="E4">
        <v>0.2</v>
      </c>
      <c r="F4">
        <v>0</v>
      </c>
      <c r="G4">
        <v>0.2</v>
      </c>
      <c r="H4">
        <v>0</v>
      </c>
    </row>
    <row r="5" spans="1:8" x14ac:dyDescent="0.3">
      <c r="A5">
        <v>1</v>
      </c>
      <c r="B5">
        <v>-5.9</v>
      </c>
      <c r="C5">
        <v>121</v>
      </c>
      <c r="D5">
        <v>2</v>
      </c>
      <c r="E5">
        <v>5.9</v>
      </c>
      <c r="F5">
        <v>0</v>
      </c>
      <c r="G5">
        <v>6</v>
      </c>
      <c r="H5">
        <v>0.1</v>
      </c>
    </row>
    <row r="6" spans="1:8" x14ac:dyDescent="0.3">
      <c r="A6">
        <v>1</v>
      </c>
      <c r="B6">
        <v>-44</v>
      </c>
      <c r="C6">
        <v>145</v>
      </c>
      <c r="D6">
        <v>2</v>
      </c>
      <c r="E6">
        <v>44</v>
      </c>
      <c r="F6">
        <v>0</v>
      </c>
      <c r="G6">
        <v>44</v>
      </c>
      <c r="H6">
        <v>0</v>
      </c>
    </row>
    <row r="7" spans="1:8" x14ac:dyDescent="0.3">
      <c r="A7">
        <v>1</v>
      </c>
      <c r="B7">
        <v>-4.7</v>
      </c>
      <c r="C7">
        <v>23</v>
      </c>
      <c r="D7">
        <v>2</v>
      </c>
      <c r="E7">
        <v>4.7</v>
      </c>
      <c r="F7">
        <v>0</v>
      </c>
      <c r="G7">
        <v>6.5</v>
      </c>
      <c r="H7">
        <v>1.8</v>
      </c>
    </row>
    <row r="8" spans="1:8" x14ac:dyDescent="0.3">
      <c r="A8">
        <v>1</v>
      </c>
      <c r="B8">
        <v>-19980</v>
      </c>
      <c r="C8">
        <v>62</v>
      </c>
      <c r="D8">
        <v>2</v>
      </c>
      <c r="E8">
        <v>19980</v>
      </c>
      <c r="F8">
        <v>0</v>
      </c>
      <c r="G8">
        <v>20000</v>
      </c>
      <c r="H8">
        <v>20</v>
      </c>
    </row>
    <row r="9" spans="1:8" x14ac:dyDescent="0.3">
      <c r="A9">
        <v>1</v>
      </c>
      <c r="B9">
        <v>99.90625</v>
      </c>
      <c r="C9">
        <v>63</v>
      </c>
      <c r="D9">
        <v>2</v>
      </c>
      <c r="E9">
        <v>0</v>
      </c>
      <c r="F9">
        <v>99.90625</v>
      </c>
      <c r="G9">
        <v>9.375E-2</v>
      </c>
      <c r="H9">
        <v>100</v>
      </c>
    </row>
    <row r="10" spans="1:8" x14ac:dyDescent="0.3">
      <c r="A10">
        <v>1</v>
      </c>
      <c r="B10">
        <v>1.5</v>
      </c>
      <c r="C10">
        <v>69</v>
      </c>
      <c r="D10">
        <v>2</v>
      </c>
      <c r="E10">
        <v>0</v>
      </c>
      <c r="F10">
        <v>1.5</v>
      </c>
      <c r="G10">
        <v>0</v>
      </c>
      <c r="H10">
        <v>1.5</v>
      </c>
    </row>
    <row r="11" spans="1:8" x14ac:dyDescent="0.3">
      <c r="A11">
        <v>1</v>
      </c>
      <c r="B11">
        <v>2.2000000000000002</v>
      </c>
      <c r="C11">
        <v>88</v>
      </c>
      <c r="D11">
        <v>2</v>
      </c>
      <c r="E11">
        <v>0</v>
      </c>
      <c r="F11">
        <v>2.2000000000000002</v>
      </c>
      <c r="G11">
        <v>1.8</v>
      </c>
      <c r="H11">
        <v>4</v>
      </c>
    </row>
    <row r="12" spans="1:8" x14ac:dyDescent="0.3">
      <c r="A12">
        <v>2</v>
      </c>
      <c r="B12">
        <v>-1</v>
      </c>
      <c r="C12">
        <v>102</v>
      </c>
      <c r="D12">
        <v>0</v>
      </c>
      <c r="E12">
        <v>1</v>
      </c>
      <c r="F12">
        <v>0</v>
      </c>
      <c r="G12">
        <v>1</v>
      </c>
      <c r="H12">
        <v>0</v>
      </c>
    </row>
    <row r="13" spans="1:8" x14ac:dyDescent="0.3">
      <c r="A13">
        <v>2</v>
      </c>
      <c r="B13">
        <v>-1.6</v>
      </c>
      <c r="C13">
        <v>120</v>
      </c>
      <c r="D13">
        <v>0</v>
      </c>
      <c r="E13">
        <v>1.6</v>
      </c>
      <c r="F13">
        <v>0</v>
      </c>
      <c r="G13">
        <v>1.62</v>
      </c>
      <c r="H13">
        <v>2.0000000000000004E-2</v>
      </c>
    </row>
    <row r="14" spans="1:8" x14ac:dyDescent="0.3">
      <c r="A14">
        <v>2</v>
      </c>
      <c r="B14">
        <v>1</v>
      </c>
      <c r="C14">
        <v>134</v>
      </c>
      <c r="D14">
        <v>0</v>
      </c>
      <c r="E14">
        <v>0</v>
      </c>
      <c r="F14">
        <v>1</v>
      </c>
      <c r="G14">
        <v>1</v>
      </c>
      <c r="H14">
        <v>2</v>
      </c>
    </row>
    <row r="15" spans="1:8" x14ac:dyDescent="0.3">
      <c r="A15">
        <v>2</v>
      </c>
      <c r="B15">
        <v>-1.98</v>
      </c>
      <c r="C15">
        <v>135</v>
      </c>
      <c r="D15">
        <v>0</v>
      </c>
      <c r="E15">
        <v>1.98</v>
      </c>
      <c r="F15">
        <v>0</v>
      </c>
      <c r="G15">
        <v>2</v>
      </c>
      <c r="H15">
        <v>2.0000000000000004E-2</v>
      </c>
    </row>
    <row r="16" spans="1:8" x14ac:dyDescent="0.3">
      <c r="A16">
        <v>2</v>
      </c>
      <c r="B16">
        <v>-4.862000000000001</v>
      </c>
      <c r="C16">
        <v>145</v>
      </c>
      <c r="D16">
        <v>0</v>
      </c>
      <c r="E16">
        <v>4.862000000000001</v>
      </c>
      <c r="F16">
        <v>0</v>
      </c>
      <c r="G16">
        <v>4.862000000000001</v>
      </c>
      <c r="H16">
        <v>0</v>
      </c>
    </row>
    <row r="17" spans="1:8" x14ac:dyDescent="0.3">
      <c r="A17">
        <v>2</v>
      </c>
      <c r="B17">
        <v>1</v>
      </c>
      <c r="C17">
        <v>93</v>
      </c>
      <c r="D17">
        <v>0</v>
      </c>
      <c r="E17">
        <v>0</v>
      </c>
      <c r="F17">
        <v>1</v>
      </c>
      <c r="G17">
        <v>0</v>
      </c>
      <c r="H17">
        <v>1</v>
      </c>
    </row>
    <row r="18" spans="1:8" x14ac:dyDescent="0.3">
      <c r="A18">
        <v>2</v>
      </c>
      <c r="B18">
        <v>-3.4</v>
      </c>
      <c r="C18">
        <v>94</v>
      </c>
      <c r="D18">
        <v>0</v>
      </c>
      <c r="E18">
        <v>3.4</v>
      </c>
      <c r="F18">
        <v>0</v>
      </c>
      <c r="G18">
        <v>5</v>
      </c>
      <c r="H18">
        <v>1.6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G18"/>
  <sheetViews>
    <sheetView showGridLines="0" workbookViewId="0">
      <selection activeCell="I9" sqref="I9"/>
    </sheetView>
  </sheetViews>
  <sheetFormatPr defaultRowHeight="16.5" x14ac:dyDescent="0.3"/>
  <cols>
    <col min="1" max="1" width="25" bestFit="1" customWidth="1"/>
    <col min="2" max="2" width="13.625" bestFit="1" customWidth="1"/>
    <col min="3" max="3" width="14.875" bestFit="1" customWidth="1"/>
    <col min="4" max="4" width="10.875" bestFit="1" customWidth="1"/>
    <col min="5" max="5" width="9.625" bestFit="1" customWidth="1"/>
    <col min="6" max="6" width="13.75" bestFit="1" customWidth="1"/>
    <col min="7" max="7" width="13.875" bestFit="1" customWidth="1"/>
  </cols>
  <sheetData>
    <row r="1" spans="1:7" x14ac:dyDescent="0.3">
      <c r="A1" t="s">
        <v>95</v>
      </c>
      <c r="B1" t="s">
        <v>96</v>
      </c>
      <c r="C1" t="s">
        <v>85</v>
      </c>
      <c r="D1" t="s">
        <v>97</v>
      </c>
      <c r="E1" t="s">
        <v>98</v>
      </c>
      <c r="F1" t="s">
        <v>58</v>
      </c>
      <c r="G1" t="s">
        <v>59</v>
      </c>
    </row>
    <row r="2" spans="1:7" x14ac:dyDescent="0.3">
      <c r="A2">
        <v>0.5</v>
      </c>
      <c r="B2">
        <v>2</v>
      </c>
      <c r="C2">
        <v>1</v>
      </c>
      <c r="D2" t="s">
        <v>99</v>
      </c>
      <c r="E2">
        <v>1</v>
      </c>
      <c r="F2">
        <v>10</v>
      </c>
      <c r="G2">
        <v>2</v>
      </c>
    </row>
    <row r="3" spans="1:7" x14ac:dyDescent="0.3">
      <c r="A3">
        <v>5680.66</v>
      </c>
      <c r="B3">
        <v>2</v>
      </c>
      <c r="C3">
        <v>1</v>
      </c>
      <c r="D3" t="s">
        <v>100</v>
      </c>
      <c r="E3">
        <v>1</v>
      </c>
      <c r="F3">
        <v>102</v>
      </c>
      <c r="G3">
        <v>2</v>
      </c>
    </row>
    <row r="4" spans="1:7" x14ac:dyDescent="0.3">
      <c r="A4">
        <v>0.2</v>
      </c>
      <c r="B4">
        <v>2</v>
      </c>
      <c r="C4">
        <v>1</v>
      </c>
      <c r="D4" t="s">
        <v>100</v>
      </c>
      <c r="E4">
        <v>1</v>
      </c>
      <c r="F4">
        <v>116</v>
      </c>
      <c r="G4">
        <v>2</v>
      </c>
    </row>
    <row r="5" spans="1:7" x14ac:dyDescent="0.3">
      <c r="A5">
        <v>5.9</v>
      </c>
      <c r="B5">
        <v>2</v>
      </c>
      <c r="C5">
        <v>1</v>
      </c>
      <c r="D5" t="s">
        <v>100</v>
      </c>
      <c r="E5">
        <v>1</v>
      </c>
      <c r="F5">
        <v>121</v>
      </c>
      <c r="G5">
        <v>2</v>
      </c>
    </row>
    <row r="6" spans="1:7" x14ac:dyDescent="0.3">
      <c r="A6">
        <v>44</v>
      </c>
      <c r="B6">
        <v>2</v>
      </c>
      <c r="C6">
        <v>1</v>
      </c>
      <c r="D6" t="s">
        <v>100</v>
      </c>
      <c r="E6">
        <v>1</v>
      </c>
      <c r="F6">
        <v>145</v>
      </c>
      <c r="G6">
        <v>2</v>
      </c>
    </row>
    <row r="7" spans="1:7" x14ac:dyDescent="0.3">
      <c r="A7">
        <v>4.7</v>
      </c>
      <c r="B7">
        <v>2</v>
      </c>
      <c r="C7">
        <v>1</v>
      </c>
      <c r="D7" t="s">
        <v>100</v>
      </c>
      <c r="E7">
        <v>1</v>
      </c>
      <c r="F7">
        <v>23</v>
      </c>
      <c r="G7">
        <v>2</v>
      </c>
    </row>
    <row r="8" spans="1:7" x14ac:dyDescent="0.3">
      <c r="A8">
        <v>19980</v>
      </c>
      <c r="B8">
        <v>2</v>
      </c>
      <c r="C8">
        <v>1</v>
      </c>
      <c r="D8" t="s">
        <v>100</v>
      </c>
      <c r="E8">
        <v>1</v>
      </c>
      <c r="F8">
        <v>62</v>
      </c>
      <c r="G8">
        <v>2</v>
      </c>
    </row>
    <row r="9" spans="1:7" x14ac:dyDescent="0.3">
      <c r="A9">
        <v>99.90625</v>
      </c>
      <c r="B9">
        <v>2</v>
      </c>
      <c r="C9">
        <v>1</v>
      </c>
      <c r="D9" t="s">
        <v>99</v>
      </c>
      <c r="E9">
        <v>1</v>
      </c>
      <c r="F9">
        <v>63</v>
      </c>
      <c r="G9">
        <v>2</v>
      </c>
    </row>
    <row r="10" spans="1:7" x14ac:dyDescent="0.3">
      <c r="A10">
        <v>1.5</v>
      </c>
      <c r="B10">
        <v>2</v>
      </c>
      <c r="C10">
        <v>1</v>
      </c>
      <c r="D10" t="s">
        <v>99</v>
      </c>
      <c r="E10">
        <v>1</v>
      </c>
      <c r="F10">
        <v>69</v>
      </c>
      <c r="G10">
        <v>2</v>
      </c>
    </row>
    <row r="11" spans="1:7" x14ac:dyDescent="0.3">
      <c r="A11">
        <v>2.2000000000000002</v>
      </c>
      <c r="B11">
        <v>2</v>
      </c>
      <c r="C11">
        <v>1</v>
      </c>
      <c r="D11" t="s">
        <v>99</v>
      </c>
      <c r="E11">
        <v>1</v>
      </c>
      <c r="F11">
        <v>88</v>
      </c>
      <c r="G11">
        <v>2</v>
      </c>
    </row>
    <row r="12" spans="1:7" x14ac:dyDescent="0.3">
      <c r="A12">
        <v>1</v>
      </c>
      <c r="B12">
        <v>2</v>
      </c>
      <c r="C12">
        <v>2</v>
      </c>
      <c r="D12" t="s">
        <v>100</v>
      </c>
      <c r="E12">
        <v>1</v>
      </c>
      <c r="F12">
        <v>102</v>
      </c>
      <c r="G12">
        <v>0</v>
      </c>
    </row>
    <row r="13" spans="1:7" x14ac:dyDescent="0.3">
      <c r="A13">
        <v>1.6</v>
      </c>
      <c r="B13">
        <v>2</v>
      </c>
      <c r="C13">
        <v>2</v>
      </c>
      <c r="D13" t="s">
        <v>100</v>
      </c>
      <c r="E13">
        <v>1</v>
      </c>
      <c r="F13">
        <v>120</v>
      </c>
      <c r="G13">
        <v>0</v>
      </c>
    </row>
    <row r="14" spans="1:7" x14ac:dyDescent="0.3">
      <c r="A14">
        <v>1</v>
      </c>
      <c r="B14">
        <v>2</v>
      </c>
      <c r="C14">
        <v>2</v>
      </c>
      <c r="D14" t="s">
        <v>99</v>
      </c>
      <c r="E14">
        <v>1</v>
      </c>
      <c r="F14">
        <v>134</v>
      </c>
      <c r="G14">
        <v>0</v>
      </c>
    </row>
    <row r="15" spans="1:7" x14ac:dyDescent="0.3">
      <c r="A15">
        <v>1.98</v>
      </c>
      <c r="B15">
        <v>2</v>
      </c>
      <c r="C15">
        <v>2</v>
      </c>
      <c r="D15" t="s">
        <v>100</v>
      </c>
      <c r="E15">
        <v>1</v>
      </c>
      <c r="F15">
        <v>135</v>
      </c>
      <c r="G15">
        <v>0</v>
      </c>
    </row>
    <row r="16" spans="1:7" x14ac:dyDescent="0.3">
      <c r="A16">
        <v>4.862000000000001</v>
      </c>
      <c r="B16">
        <v>2</v>
      </c>
      <c r="C16">
        <v>2</v>
      </c>
      <c r="D16" t="s">
        <v>100</v>
      </c>
      <c r="E16">
        <v>1</v>
      </c>
      <c r="F16">
        <v>145</v>
      </c>
      <c r="G16">
        <v>0</v>
      </c>
    </row>
    <row r="17" spans="1:7" x14ac:dyDescent="0.3">
      <c r="A17">
        <v>1</v>
      </c>
      <c r="B17">
        <v>3</v>
      </c>
      <c r="C17">
        <v>2</v>
      </c>
      <c r="D17" t="s">
        <v>99</v>
      </c>
      <c r="E17">
        <v>1</v>
      </c>
      <c r="F17">
        <v>93</v>
      </c>
      <c r="G17">
        <v>0</v>
      </c>
    </row>
    <row r="18" spans="1:7" x14ac:dyDescent="0.3">
      <c r="A18">
        <v>3.4</v>
      </c>
      <c r="B18">
        <v>2</v>
      </c>
      <c r="C18">
        <v>2</v>
      </c>
      <c r="D18" t="s">
        <v>100</v>
      </c>
      <c r="E18">
        <v>1</v>
      </c>
      <c r="F18">
        <v>94</v>
      </c>
      <c r="G18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G18"/>
  <sheetViews>
    <sheetView showGridLines="0" workbookViewId="0">
      <selection activeCell="G5" sqref="G5"/>
    </sheetView>
  </sheetViews>
  <sheetFormatPr defaultRowHeight="16.5" x14ac:dyDescent="0.3"/>
  <cols>
    <col min="1" max="1" width="14.875" bestFit="1" customWidth="1"/>
    <col min="2" max="2" width="16.875" bestFit="1" customWidth="1"/>
    <col min="3" max="3" width="25.75" bestFit="1" customWidth="1"/>
    <col min="4" max="4" width="13.75" bestFit="1" customWidth="1"/>
    <col min="5" max="5" width="13.875" bestFit="1" customWidth="1"/>
    <col min="6" max="6" width="21.5" bestFit="1" customWidth="1"/>
    <col min="7" max="7" width="21.125" bestFit="1" customWidth="1"/>
  </cols>
  <sheetData>
    <row r="1" spans="1:7" x14ac:dyDescent="0.3">
      <c r="A1" t="s">
        <v>85</v>
      </c>
      <c r="B1" t="s">
        <v>86</v>
      </c>
      <c r="C1" t="s">
        <v>87</v>
      </c>
      <c r="D1" t="s">
        <v>58</v>
      </c>
      <c r="E1" t="s">
        <v>59</v>
      </c>
      <c r="F1" t="s">
        <v>88</v>
      </c>
      <c r="G1" t="s">
        <v>89</v>
      </c>
    </row>
    <row r="2" spans="1:7" x14ac:dyDescent="0.3">
      <c r="A2">
        <v>1</v>
      </c>
      <c r="B2" t="b">
        <v>0</v>
      </c>
      <c r="C2">
        <v>0.5</v>
      </c>
      <c r="D2">
        <v>10</v>
      </c>
      <c r="E2">
        <v>2</v>
      </c>
      <c r="F2">
        <v>0</v>
      </c>
      <c r="G2">
        <v>0.5</v>
      </c>
    </row>
    <row r="3" spans="1:7" x14ac:dyDescent="0.3">
      <c r="A3">
        <v>1</v>
      </c>
      <c r="B3" t="b">
        <v>0</v>
      </c>
      <c r="C3">
        <v>5680.66</v>
      </c>
      <c r="D3">
        <v>102</v>
      </c>
      <c r="E3">
        <v>2</v>
      </c>
      <c r="F3">
        <v>0</v>
      </c>
      <c r="G3">
        <v>5680.66</v>
      </c>
    </row>
    <row r="4" spans="1:7" x14ac:dyDescent="0.3">
      <c r="A4">
        <v>1</v>
      </c>
      <c r="B4" t="b">
        <v>0</v>
      </c>
      <c r="C4">
        <v>0.2</v>
      </c>
      <c r="D4">
        <v>116</v>
      </c>
      <c r="E4">
        <v>2</v>
      </c>
      <c r="F4">
        <v>0</v>
      </c>
      <c r="G4">
        <v>0.2</v>
      </c>
    </row>
    <row r="5" spans="1:7" x14ac:dyDescent="0.3">
      <c r="A5">
        <v>1</v>
      </c>
      <c r="B5" t="b">
        <v>0</v>
      </c>
      <c r="C5">
        <v>5.9</v>
      </c>
      <c r="D5">
        <v>121</v>
      </c>
      <c r="E5">
        <v>2</v>
      </c>
      <c r="F5">
        <v>0</v>
      </c>
      <c r="G5">
        <v>5.9</v>
      </c>
    </row>
    <row r="6" spans="1:7" x14ac:dyDescent="0.3">
      <c r="A6">
        <v>1</v>
      </c>
      <c r="B6" t="b">
        <v>0</v>
      </c>
      <c r="C6">
        <v>44</v>
      </c>
      <c r="D6">
        <v>145</v>
      </c>
      <c r="E6">
        <v>2</v>
      </c>
      <c r="F6">
        <v>0</v>
      </c>
      <c r="G6">
        <v>44</v>
      </c>
    </row>
    <row r="7" spans="1:7" x14ac:dyDescent="0.3">
      <c r="A7">
        <v>1</v>
      </c>
      <c r="B7" t="b">
        <v>0</v>
      </c>
      <c r="C7">
        <v>4.7</v>
      </c>
      <c r="D7">
        <v>23</v>
      </c>
      <c r="E7">
        <v>2</v>
      </c>
      <c r="F7">
        <v>0</v>
      </c>
      <c r="G7">
        <v>4.7</v>
      </c>
    </row>
    <row r="8" spans="1:7" x14ac:dyDescent="0.3">
      <c r="A8">
        <v>1</v>
      </c>
      <c r="B8" t="b">
        <v>0</v>
      </c>
      <c r="C8">
        <v>19980</v>
      </c>
      <c r="D8">
        <v>62</v>
      </c>
      <c r="E8">
        <v>2</v>
      </c>
      <c r="F8">
        <v>0</v>
      </c>
      <c r="G8">
        <v>19980</v>
      </c>
    </row>
    <row r="9" spans="1:7" x14ac:dyDescent="0.3">
      <c r="A9">
        <v>1</v>
      </c>
      <c r="B9" t="b">
        <v>0</v>
      </c>
      <c r="C9">
        <v>99.90625</v>
      </c>
      <c r="D9">
        <v>63</v>
      </c>
      <c r="E9">
        <v>2</v>
      </c>
      <c r="F9">
        <v>0</v>
      </c>
      <c r="G9">
        <v>99.90625</v>
      </c>
    </row>
    <row r="10" spans="1:7" x14ac:dyDescent="0.3">
      <c r="A10">
        <v>1</v>
      </c>
      <c r="B10" t="b">
        <v>0</v>
      </c>
      <c r="C10">
        <v>1.5</v>
      </c>
      <c r="D10">
        <v>69</v>
      </c>
      <c r="E10">
        <v>2</v>
      </c>
      <c r="F10">
        <v>0</v>
      </c>
      <c r="G10">
        <v>1.5</v>
      </c>
    </row>
    <row r="11" spans="1:7" x14ac:dyDescent="0.3">
      <c r="A11">
        <v>1</v>
      </c>
      <c r="B11" t="b">
        <v>0</v>
      </c>
      <c r="C11">
        <v>2.2000000000000002</v>
      </c>
      <c r="D11">
        <v>88</v>
      </c>
      <c r="E11">
        <v>2</v>
      </c>
      <c r="F11">
        <v>0</v>
      </c>
      <c r="G11">
        <v>2.2000000000000002</v>
      </c>
    </row>
    <row r="12" spans="1:7" x14ac:dyDescent="0.3">
      <c r="A12">
        <v>2</v>
      </c>
      <c r="B12" t="b">
        <v>0</v>
      </c>
      <c r="C12">
        <v>1</v>
      </c>
      <c r="D12">
        <v>102</v>
      </c>
      <c r="E12">
        <v>0</v>
      </c>
      <c r="F12">
        <v>0</v>
      </c>
      <c r="G12">
        <v>1</v>
      </c>
    </row>
    <row r="13" spans="1:7" x14ac:dyDescent="0.3">
      <c r="A13">
        <v>2</v>
      </c>
      <c r="B13" t="b">
        <v>0</v>
      </c>
      <c r="C13">
        <v>1.6</v>
      </c>
      <c r="D13">
        <v>120</v>
      </c>
      <c r="E13">
        <v>0</v>
      </c>
      <c r="F13">
        <v>0</v>
      </c>
      <c r="G13">
        <v>1.6</v>
      </c>
    </row>
    <row r="14" spans="1:7" x14ac:dyDescent="0.3">
      <c r="A14">
        <v>2</v>
      </c>
      <c r="B14" t="b">
        <v>0</v>
      </c>
      <c r="C14">
        <v>1</v>
      </c>
      <c r="D14">
        <v>134</v>
      </c>
      <c r="E14">
        <v>0</v>
      </c>
      <c r="F14">
        <v>0</v>
      </c>
      <c r="G14">
        <v>1</v>
      </c>
    </row>
    <row r="15" spans="1:7" x14ac:dyDescent="0.3">
      <c r="A15">
        <v>2</v>
      </c>
      <c r="B15" t="b">
        <v>0</v>
      </c>
      <c r="C15">
        <v>1.98</v>
      </c>
      <c r="D15">
        <v>135</v>
      </c>
      <c r="E15">
        <v>0</v>
      </c>
      <c r="F15">
        <v>0</v>
      </c>
      <c r="G15">
        <v>1.98</v>
      </c>
    </row>
    <row r="16" spans="1:7" x14ac:dyDescent="0.3">
      <c r="A16">
        <v>2</v>
      </c>
      <c r="B16" t="b">
        <v>0</v>
      </c>
      <c r="C16">
        <v>4.862000000000001</v>
      </c>
      <c r="D16">
        <v>145</v>
      </c>
      <c r="E16">
        <v>0</v>
      </c>
      <c r="F16">
        <v>0</v>
      </c>
      <c r="G16">
        <v>4.862000000000001</v>
      </c>
    </row>
    <row r="17" spans="1:7" x14ac:dyDescent="0.3">
      <c r="A17">
        <v>2</v>
      </c>
      <c r="B17" t="b">
        <v>0</v>
      </c>
      <c r="C17">
        <v>0</v>
      </c>
      <c r="D17">
        <v>93</v>
      </c>
      <c r="E17">
        <v>0</v>
      </c>
      <c r="F17">
        <v>1</v>
      </c>
      <c r="G17">
        <v>1</v>
      </c>
    </row>
    <row r="18" spans="1:7" x14ac:dyDescent="0.3">
      <c r="A18">
        <v>2</v>
      </c>
      <c r="B18" t="b">
        <v>0</v>
      </c>
      <c r="C18">
        <v>3.4</v>
      </c>
      <c r="D18">
        <v>94</v>
      </c>
      <c r="E18">
        <v>0</v>
      </c>
      <c r="F18">
        <v>0</v>
      </c>
      <c r="G18">
        <v>3.4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A1"/>
  <sheetViews>
    <sheetView showGridLines="0" workbookViewId="0">
      <selection activeCell="K11" sqref="K11"/>
    </sheetView>
  </sheetViews>
  <sheetFormatPr defaultRowHeight="16.5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E02-0CF6-4951-842B-88CFBB2AC45C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4434-B0E6-400C-90D7-3A8738EC19E5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CBAE-2C37-4FBE-B6C3-42288E12370B}">
  <sheetPr codeName="Sheet4"/>
  <dimension ref="A1"/>
  <sheetViews>
    <sheetView showGridLines="0" workbookViewId="0"/>
  </sheetViews>
  <sheetFormatPr defaultRowHeight="16.5" x14ac:dyDescent="0.3"/>
  <sheetData>
    <row r="1" spans="1:1" x14ac:dyDescent="0.3">
      <c r="A1" t="s">
        <v>56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B29-EC75-4B87-A05F-96918AA16330}">
  <sheetPr codeName="Sheet5"/>
  <dimension ref="A1"/>
  <sheetViews>
    <sheetView showGridLines="0" workbookViewId="0"/>
  </sheetViews>
  <sheetFormatPr defaultRowHeight="16.5" x14ac:dyDescent="0.3"/>
  <sheetData>
    <row r="1" spans="1:1" x14ac:dyDescent="0.3">
      <c r="A1" t="s">
        <v>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A59-0FA2-49F7-8E9E-917C787152B8}">
  <sheetPr codeName="Sheet6"/>
  <dimension ref="A1"/>
  <sheetViews>
    <sheetView showGridLines="0" workbookViewId="0"/>
  </sheetViews>
  <sheetFormatPr defaultRowHeight="16.5" x14ac:dyDescent="0.3"/>
  <sheetData>
    <row r="1" spans="1:1" x14ac:dyDescent="0.3">
      <c r="A1" t="s">
        <v>54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E47F-A11D-49E2-94AB-D18FE403A771}">
  <sheetPr codeName="Sheet7"/>
  <dimension ref="A1"/>
  <sheetViews>
    <sheetView showGridLines="0" workbookViewId="0"/>
  </sheetViews>
  <sheetFormatPr defaultRowHeight="16.5" x14ac:dyDescent="0.3"/>
  <sheetData>
    <row r="1" spans="1:1" x14ac:dyDescent="0.3">
      <c r="A1" t="s">
        <v>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2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3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4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5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</vt:i4>
      </vt:variant>
    </vt:vector>
  </HeadingPairs>
  <TitlesOfParts>
    <vt:vector size="25" baseType="lpstr">
      <vt:lpstr>Paths</vt:lpstr>
      <vt:lpstr>Inputs</vt:lpstr>
      <vt:lpstr>Output</vt:lpstr>
      <vt:lpstr>_out_production_intent</vt:lpstr>
      <vt:lpstr>_out_product_bom_consumption</vt:lpstr>
      <vt:lpstr>_out_product_bom_demand_detail</vt:lpstr>
      <vt:lpstr>_out_balance_plan</vt:lpstr>
      <vt:lpstr>_out_clearing_result</vt:lpstr>
      <vt:lpstr>out_allocation_summary</vt:lpstr>
      <vt:lpstr>Help</vt:lpstr>
      <vt:lpstr>_ing_company</vt:lpstr>
      <vt:lpstr>_ing_map_structure</vt:lpstr>
      <vt:lpstr>_ing_override_retail_prices</vt:lpstr>
      <vt:lpstr>_ing_override_exchange_prices</vt:lpstr>
      <vt:lpstr>_ing_clearing_plan</vt:lpstr>
      <vt:lpstr>_ing_production_plan</vt:lpstr>
      <vt:lpstr>_ing_company!ExternalData_1</vt:lpstr>
      <vt:lpstr>_ing_map_structure!ExternalData_1</vt:lpstr>
      <vt:lpstr>_ing_production_plan!ExternalData_3</vt:lpstr>
      <vt:lpstr>_ing_clearing_plan!ExternalData_4</vt:lpstr>
      <vt:lpstr>_ing_override_exchange_prices!ExternalData_5</vt:lpstr>
      <vt:lpstr>_ing_override_retail_prices!ExternalData_6</vt:lpstr>
      <vt:lpstr>InstallationRoot</vt:lpstr>
      <vt:lpstr>MapStructureList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2026-06-03T20:45:27Z</dcterms:modified>
  <cp:category/>
  <cp:contentStatus/>
</cp:coreProperties>
</file>