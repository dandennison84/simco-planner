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420" documentId="8_{372FFF71-BA85-4A67-B07D-9803677B54DF}" xr6:coauthVersionLast="47" xr6:coauthVersionMax="47" xr10:uidLastSave="{7071729B-0377-4EA4-BDFA-D7401C3A54FE}"/>
  <bookViews>
    <workbookView xWindow="-120" yWindow="-120" windowWidth="29040" windowHeight="15720" firstSheet="1" activeTab="1" xr2:uid="{005547BF-1833-45E8-9E6B-655A694EBD70}"/>
  </bookViews>
  <sheets>
    <sheet name="Paths" sheetId="150" r:id="rId1"/>
    <sheet name="Inputs" sheetId="132" r:id="rId2"/>
    <sheet name="Output" sheetId="133" r:id="rId3"/>
    <sheet name="_out_production_intent" sheetId="153" r:id="rId4"/>
    <sheet name="_out_product_bom_consumption" sheetId="154" r:id="rId5"/>
    <sheet name="_out_balance_plan" sheetId="152" r:id="rId6"/>
    <sheet name="_out_clearing_result" sheetId="155" r:id="rId7"/>
    <sheet name="_out_clearing_remainder" sheetId="156" r:id="rId8"/>
    <sheet name="out_allocation_summary" sheetId="151" r:id="rId9"/>
    <sheet name="Help" sheetId="141" r:id="rId10"/>
    <sheet name="_ing_company" sheetId="148" state="hidden" r:id="rId11"/>
    <sheet name="_ing_map_structure" sheetId="149" state="hidden" r:id="rId12"/>
    <sheet name="_ing_override_retail_prices" sheetId="147" state="hidden" r:id="rId13"/>
    <sheet name="_ing_override_exchange_prices" sheetId="146" state="hidden" r:id="rId14"/>
    <sheet name="_ing_clearing_plan" sheetId="145" state="hidden" r:id="rId15"/>
    <sheet name="_ing_production_plan" sheetId="144" state="hidden" r:id="rId16"/>
  </sheets>
  <definedNames>
    <definedName name="_xlpm.f" hidden="1" xlm="1">#NAME?</definedName>
    <definedName name="ExternalData_1" localSheetId="10">_ing_company!$A$1</definedName>
    <definedName name="ExternalData_1" localSheetId="11">_ing_map_structure!$A$1</definedName>
    <definedName name="ExternalData_1" localSheetId="8" hidden="1">out_allocation_summary!$A$1:$G$18</definedName>
    <definedName name="ExternalData_2" localSheetId="5" hidden="1">'_out_balance_plan'!$A$1:$H$18</definedName>
    <definedName name="ExternalData_3" localSheetId="15">_ing_production_plan!$A$1</definedName>
    <definedName name="ExternalData_3" localSheetId="3" hidden="1">'_out_production_intent'!$A$1:$D$17</definedName>
    <definedName name="ExternalData_4" localSheetId="14">_ing_clearing_plan!$A$1</definedName>
    <definedName name="ExternalData_4" localSheetId="4" hidden="1">'_out_product_bom_consumption'!$A$1:$D$15</definedName>
    <definedName name="ExternalData_5" localSheetId="13">_ing_override_exchange_prices!$A$1</definedName>
    <definedName name="ExternalData_5" localSheetId="6" hidden="1">'_out_clearing_result'!$A$1:$G$18</definedName>
    <definedName name="ExternalData_6" localSheetId="12">_ing_override_retail_prices!$A$1</definedName>
    <definedName name="ExternalData_6" localSheetId="7" hidden="1">'_out_clearing_remainder'!$A$1:$E$2</definedName>
    <definedName name="InstallationRoot">Paths!$B$1</definedName>
    <definedName name="MapStructureList">tblMapStructure[Company Key]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17F76A69-2914-42EC-BB45-405DD236E292}" keepAlive="1" name="Query - _out_balance_plan" description="Connection to the '_out_balance_plan' query in the workbook." type="5" refreshedVersion="8" background="1" saveData="1">
    <dbPr connection="Provider=Microsoft.Mashup.OleDb.1;Data Source=$Workbook$;Location=_out_balance_plan;Extended Properties=&quot;&quot;" command="SELECT * FROM [_out_balance_plan]"/>
  </connection>
  <connection id="8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9" xr16:uid="{8EB7C1F8-F901-4CE1-8634-C3BF31F1DFE5}" keepAlive="1" name="Query - _out_clearing_remainder" description="Connection to the '_out_clearing_remainder' query in the workbook." type="5" refreshedVersion="8" background="1" saveData="1">
    <dbPr connection="Provider=Microsoft.Mashup.OleDb.1;Data Source=$Workbook$;Location=_out_clearing_remainder;Extended Properties=&quot;&quot;" command="SELECT * FROM [_out_clearing_remainder]"/>
  </connection>
  <connection id="10" xr16:uid="{D1ABF0DA-28CA-4449-BFBB-43061A40B165}" keepAlive="1" name="Query - _out_clearing_result" description="Connection to the '_out_clearing_result' query in the workbook." type="5" refreshedVersion="8" background="1" saveData="1">
    <dbPr connection="Provider=Microsoft.Mashup.OleDb.1;Data Source=$Workbook$;Location=_out_clearing_result;Extended Properties=&quot;&quot;" command="SELECT * FROM [_out_clearing_result]"/>
  </connection>
  <connection id="11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12" xr16:uid="{3CE5AB3D-F966-485A-BCD0-630450A67311}" keepAlive="1" name="Query - _out_product_bom_consumption" description="Connection to the '_out_product_bom_consumption' query in the workbook." type="5" refreshedVersion="8" background="1" saveData="1">
    <dbPr connection="Provider=Microsoft.Mashup.OleDb.1;Data Source=$Workbook$;Location=_out_product_bom_consumption;Extended Properties=&quot;&quot;" command="SELECT * FROM [_out_product_bom_consumption]"/>
  </connection>
  <connection id="1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14" xr16:uid="{D915FB28-A022-4735-8046-C08FFB9A9820}" keepAlive="1" name="Query - _out_production_intent" description="Connection to the '_out_production_intent' query in the workbook." type="5" refreshedVersion="8" background="1" saveData="1">
    <dbPr connection="Provider=Microsoft.Mashup.OleDb.1;Data Source=$Workbook$;Location=_out_production_intent;Extended Properties=&quot;&quot;" command="SELECT * FROM [_out_production_intent]"/>
  </connection>
  <connection id="15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16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7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8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9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2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2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2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2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2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3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3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3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3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3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3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3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9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40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41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42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43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44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45" xr16:uid="{9B5C1BE1-4EB3-4EFF-A604-F1B772E32053}" keepAlive="1" name="Query - out_allocation_summary" description="Connection to the 'out_allocation_summary' query in the workbook." type="5" refreshedVersion="8" background="1" saveData="1">
    <dbPr connection="Provider=Microsoft.Mashup.OleDb.1;Data Source=$Workbook$;Location=out_allocation_summary;Extended Properties=&quot;&quot;" command="SELECT * FROM [out_allocation_summary]"/>
  </connection>
  <connection id="46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7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8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9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50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51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52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3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4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5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6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7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8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9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60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61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62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3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4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5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6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7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8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9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70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71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72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3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4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5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6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7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8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9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80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81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82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3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4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5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6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7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8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9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90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91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92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3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4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5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6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7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8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9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<sst xmlns="http://schemas.openxmlformats.org/spreadsheetml/2006/main" count="257" uniqueCount="102">
  <si>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</si>
  <si>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</si>
  <si>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</si>
  <si>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</si>
  <si>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</si>
  <si>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</si>
  <si>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</si>
  <si>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</si>
  <si>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</si>
  <si>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</si>
  <si>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</si>
  <si>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</si>
  <si>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</si>
  <si>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</si>
  <si>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</si>
  <si>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</si>
  <si>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</si>
  <si>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</si>
  <si>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</si>
  <si>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</si>
  <si>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</si>
  <si>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</si>
  <si>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</si>
  <si>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</si>
  <si>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</si>
  <si>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</si>
  <si>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</si>
  <si>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</si>
  <si>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</si>
  <si>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</si>
  <si>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</si>
  <si>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</si>
  <si>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</si>
  <si>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</si>
  <si>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</si>
  <si>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</si>
  <si>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</si>
  <si>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</si>
  <si>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</si>
  <si>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</si>
  <si>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</si>
  <si>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</si>
  <si>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</si>
  <si>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</si>
  <si>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</si>
  <si>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</si>
  <si>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</si>
  <si>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</si>
  <si>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</si>
  <si>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</si>
  <si>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</si>
  <si>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</si>
  <si>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</si>
  <si>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</si>
  <si>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</si>
  <si>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</si>
  <si>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</si>
  <si>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</si>
  <si>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</si>
  <si>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</si>
  <si>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</si>
  <si>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</si>
  <si>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</si>
  <si>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</si>
  <si>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</si>
  <si>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</si>
  <si>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</si>
  <si>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</si>
  <si>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</si>
  <si>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</si>
  <si>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</si>
  <si>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</si>
  <si>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</si>
  <si>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</si>
  <si>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</si>
  <si>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</si>
  <si>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</si>
  <si>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</si>
  <si>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</si>
  <si>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</si>
  <si>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</si>
  <si>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</si>
  <si>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</si>
  <si>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</si>
  <si>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</si>
  <si>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</si>
  <si>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</si>
  <si>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</si>
  <si>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</si>
  <si>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</si>
  <si>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</si>
  <si>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</si>
  <si>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</si>
  <si>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</si>
  <si>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</si>
  <si>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</si>
  <si>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</si>
  <si>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</si>
  <si>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</si>
  <si>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</si>
  <si>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</si>
  <si>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remaining_units_per_hour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</si>
</sst>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0" fillId="0" borderId="0" xfId="0" applyNumberFormat="1"/>
  </cellXfs>
  <cellStyles count="1">
    <cellStyle name="Normal" xfId="0" builtinId="0"/>
  </cellStyles>
  <dxfs count="21">
    <dxf>
      <numFmt numFmtId="0" formatCode="General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0"/>
      <tableStyleElement type="headerRow" dxfId="19"/>
    </tableStyle>
    <tableStyle name="Output Table" pivot="0" count="2" xr9:uid="{2E3CF32D-1805-447A-A85C-8F12D0D17A75}">
      <tableStyleElement type="wholeTable" dxfId="18"/>
      <tableStyleElement type="headerRow" dxfId="17"/>
    </tableStyle>
    <tableStyle name="Ref Table" pivot="0" count="2" xr9:uid="{A770A715-E574-4C04-A545-B413EE13707B}">
      <tableStyleElement type="wholeTable" dxfId="16"/>
      <tableStyleElement type="headerRow" dxfId="15"/>
    </tableStyle>
    <tableStyle name="Reference Material" pivot="0" count="2" xr9:uid="{4A411DC6-D102-4668-BF54-FAE72CB502D1}">
      <tableStyleElement type="wholeTable" dxfId="14"/>
      <tableStyleElement type="headerRow" dxfId="13"/>
    </tableStyle>
    <tableStyle name="Sys Tables" pivot="0" count="2" xr9:uid="{096D3C65-410C-4E50-A003-D708D0B3FEC5}">
      <tableStyleElement type="wholeTable" dxfId="12"/>
      <tableStyleElement type="headerRow" dxfId="11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Relationship Id="rId27" Type="http://schemas.openxmlformats.org/officeDocument/2006/relationships/customXml" Target="../customXml/item4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" xr16:uid="{08013D8A-8A0E-43E6-A87C-4985B0B0CCB1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produced_per_hour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DD315A0D-4543-4F2A-8C5D-1F14C53C8B73}" autoFormatId="16" applyNumberFormats="0" applyBorderFormats="0" applyFontFormats="0" applyPatternFormats="0" applyAlignmentFormats="0" applyWidthHeightFormats="0">
  <queryTableRefresh nextId="5">
    <queryTableFields count="4">
      <queryTableField id="1" name="company_key" tableColumnId="1"/>
      <queryTableField id="2" name="product_key" tableColumnId="2"/>
      <queryTableField id="3" name="quality_level" tableColumnId="3"/>
      <queryTableField id="4" name="units_consumed_per_hour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33D9CACD-81B5-448E-AA16-60EA845163F7}" autoFormatId="16" applyNumberFormats="0" applyBorderFormats="0" applyFontFormats="0" applyPatternFormats="0" applyAlignmentFormats="0" applyWidthHeightFormats="0">
  <queryTableRefresh nextId="9">
    <queryTableFields count="8">
      <queryTableField id="1" name="company_key" tableColumnId="1"/>
      <queryTableField id="2" name="net_units_per_hour" tableColumnId="2"/>
      <queryTableField id="3" name="product_key" tableColumnId="3"/>
      <queryTableField id="4" name="quality_level" tableColumnId="4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" xr16:uid="{AB521252-C7E8-49AA-BB17-291224C74183}" autoFormatId="16" applyNumberFormats="0" applyBorderFormats="0" applyFontFormats="0" applyPatternFormats="0" applyAlignmentFormats="0" applyWidthHeightFormats="0">
  <queryTableRefresh nextId="8">
    <queryTableFields count="7">
      <queryTableField id="1" name="allocated_units_per_hour" tableColumnId="1"/>
      <queryTableField id="2" name="channel_key" tableColumnId="2"/>
      <queryTableField id="3" name="company_key" tableColumnId="3"/>
      <queryTableField id="4" name="direction" tableColumnId="4"/>
      <queryTableField id="5" name="priority" tableColumnId="5"/>
      <queryTableField id="6" name="product_key" tableColumnId="6"/>
      <queryTableField id="7" name="quality_level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" xr16:uid="{07CC7EC4-7231-4A37-97A2-003DE0359D81}" autoFormatId="16" applyNumberFormats="0" applyBorderFormats="0" applyFontFormats="0" applyPatternFormats="0" applyAlignmentFormats="0" applyWidthHeightFormats="0">
  <queryTableRefresh nextId="6">
    <queryTableFields count="5">
      <queryTableField id="1" name="company_key" tableColumnId="1"/>
      <queryTableField id="2" name="product_key" tableColumnId="2"/>
      <queryTableField id="3" name="quality_level" tableColumnId="3"/>
      <queryTableField id="4" name="direction" tableColumnId="4"/>
      <queryTableField id="5" name="remaining_units_per_hour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5" xr16:uid="{7E83F68A-C9E0-45BE-AF3F-2DF08699B3C4}" autoFormatId="16" applyNumberFormats="0" applyBorderFormats="0" applyFontFormats="0" applyPatternFormats="0" applyAlignmentFormats="0" applyWidthHeightFormats="0">
  <queryTableRefresh nextId="8">
    <queryTableFields count="7">
      <queryTableField id="1" name="company_key" tableColumnId="1"/>
      <queryTableField id="2" name="is_retail_capped" tableColumnId="2"/>
      <queryTableField id="3" name="non_retail_units_per_hour" tableColumnId="3"/>
      <queryTableField id="4" name="product_key" tableColumnId="4"/>
      <queryTableField id="5" name="quality_level" tableColumnId="5"/>
      <queryTableField id="6" name="retail_units_per_hour" tableColumnId="6"/>
      <queryTableField id="7" name="total_units_per_hour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9"/>
    <tableColumn id="8" xr3:uid="{13346E22-A822-4DDB-AC42-5BDDA0D7C140}" name="Sales Speed %" dataDxfId="8"/>
    <tableColumn id="9" xr3:uid="{DC6CD4C4-F52F-4006-8272-45075FEB3A09}" name="Enabled" dataDxfId="7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6"/>
    <tableColumn id="6" xr3:uid="{5AD26A78-376B-45F9-AD3F-E0EA1CFDD1E0}" name="Enabled" dataDxfId="5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4"/>
    <tableColumn id="6" xr3:uid="{D362487B-B768-4C2A-A7E9-5E4BB89B6DB8}" name="Enabled" dataDxfId="3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2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1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1F1CFD-AECC-43F6-9AAC-CBD92531C796}" name="_out_production_intent" displayName="_out_production_intent" ref="A1:D17" tableType="queryTable" totalsRowShown="0">
  <autoFilter ref="A1:D17" xr:uid="{611F1CFD-AECC-43F6-9AAC-CBD92531C796}"/>
  <tableColumns count="4">
    <tableColumn id="1" xr3:uid="{7B73DF87-BA1B-4C88-A5D7-55412DC0504E}" uniqueName="1" name="company_key" queryTableFieldId="1"/>
    <tableColumn id="2" xr3:uid="{52F33779-55F2-4B0B-ADDE-5960E64C522F}" uniqueName="2" name="product_key" queryTableFieldId="2"/>
    <tableColumn id="3" xr3:uid="{81080B15-948B-4A07-95CC-383ED3FFCE9D}" uniqueName="3" name="quality_level" queryTableFieldId="3"/>
    <tableColumn id="4" xr3:uid="{B13ACBD2-243A-4F04-9D87-92662CCB3CBE}" uniqueName="4" name="units_produced_per_hour" queryTableFieldId="4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_out_product_bom_consumption" displayName="_out_product_bom_consumption" ref="A1:D15" tableType="queryTable" totalsRowShown="0">
  <autoFilter ref="A1:D15" xr:uid="{8C33B665-0B3E-4DCA-8E34-3CA298178A8B}"/>
  <tableColumns count="4">
    <tableColumn id="1" xr3:uid="{8C8E0191-AB97-491A-9CD9-2D7EF277F367}" uniqueName="1" name="company_key" queryTableFieldId="1"/>
    <tableColumn id="2" xr3:uid="{56F55EAE-DE1A-4A5D-9781-4A53FA2B93CD}" uniqueName="2" name="product_key" queryTableFieldId="2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_out_balance_plan" displayName="_out_balance_plan" ref="A1:H18" tableType="queryTable" totalsRowShown="0">
  <autoFilter ref="A1:H18" xr:uid="{1300D389-4E92-4A3B-9E05-7AEF65561BAE}"/>
  <tableColumns count="8">
    <tableColumn id="1" xr3:uid="{CD694EE8-0E4E-4F94-9345-A8C2B43CB088}" uniqueName="1" name="company_key" queryTableFieldId="1"/>
    <tableColumn id="2" xr3:uid="{7427E588-5B6D-4486-B600-2E65052DF902}" uniqueName="2" name="net_units_per_hour" queryTableFieldId="2"/>
    <tableColumn id="3" xr3:uid="{1D85DA38-5909-4CCF-8FE1-583DBC40D70B}" uniqueName="3" name="product_key" queryTableFieldId="3"/>
    <tableColumn id="4" xr3:uid="{C0C835D5-9574-4FA9-AE20-F8A347F7017A}" uniqueName="4" name="quality_level" queryTableFieldId="4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_out_clearing_result" displayName="_out_clearing_result" ref="A1:G18" tableType="queryTable" totalsRowShown="0">
  <autoFilter ref="A1:G18" xr:uid="{04728E40-C452-47A7-BBD7-A726D5BEB2C3}"/>
  <tableColumns count="7">
    <tableColumn id="1" xr3:uid="{5EF46A99-A05D-4CB4-BAD9-B069B6B7F8A1}" uniqueName="1" name="allocated_units_per_hour" queryTableFieldId="1"/>
    <tableColumn id="2" xr3:uid="{CE81D9B4-8423-4A71-A899-D1DFC5FB7850}" uniqueName="2" name="channel_key" queryTableFieldId="2"/>
    <tableColumn id="3" xr3:uid="{5791FDDD-B276-47FE-878E-7A735D7E9E2D}" uniqueName="3" name="company_key" queryTableFieldId="3"/>
    <tableColumn id="4" xr3:uid="{1D503F3A-EAFB-4C9F-B853-82A1EA04253D}" uniqueName="4" name="direction" queryTableFieldId="4" dataDxfId="10"/>
    <tableColumn id="5" xr3:uid="{90237FDB-7C99-4B5C-8AB8-6C1F09B9763E}" uniqueName="5" name="priority" queryTableFieldId="5"/>
    <tableColumn id="6" xr3:uid="{C4B02CD3-AE0F-4C2D-837B-3D2259AB1E26}" uniqueName="6" name="product_key" queryTableFieldId="6"/>
    <tableColumn id="7" xr3:uid="{99A70940-FFC9-4B37-9C35-8FE8C8ACF9A9}" uniqueName="7" name="quality_level" queryTableFieldId="7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099FCCE-89D6-46EA-B4A7-BFBC9689F200}" name="_out_clearing_remainder" displayName="_out_clearing_remainder" ref="A1:E2" tableType="queryTable" totalsRowShown="0">
  <autoFilter ref="A1:E2" xr:uid="{C099FCCE-89D6-46EA-B4A7-BFBC9689F200}"/>
  <tableColumns count="5">
    <tableColumn id="1" xr3:uid="{B8355473-2C26-4ECB-A4D7-6EDB80941050}" uniqueName="1" name="company_key" queryTableFieldId="1"/>
    <tableColumn id="2" xr3:uid="{C3EB4EF4-A501-4BF5-97E5-E3C4E3203641}" uniqueName="2" name="product_key" queryTableFieldId="2"/>
    <tableColumn id="3" xr3:uid="{E371EBF4-90DC-4532-B014-5FEF6B16A88A}" uniqueName="3" name="quality_level" queryTableFieldId="3"/>
    <tableColumn id="4" xr3:uid="{DBD4578A-5B9C-4750-B580-A39AB6709609}" uniqueName="4" name="direction" queryTableFieldId="4" dataDxfId="0"/>
    <tableColumn id="5" xr3:uid="{4A32B596-2110-4170-9B2D-E47D6EF3AFDE}" uniqueName="5" name="remaining_units_per_hour" queryTableFieldId="5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out_allocation_summary" displayName="out_allocation_summary" ref="A1:G18" tableType="queryTable" totalsRowShown="0">
  <autoFilter ref="A1:G18" xr:uid="{4E17DF3E-5287-440B-A27E-FDA3DFDDFF33}"/>
  <tableColumns count="7">
    <tableColumn id="1" xr3:uid="{1102F6B8-9954-4D5C-AD18-3BFED75176A4}" uniqueName="1" name="company_key" queryTableFieldId="1"/>
    <tableColumn id="2" xr3:uid="{EAE8025A-D2AD-4D25-AF70-210DBFC172ED}" uniqueName="2" name="is_retail_capped" queryTableFieldId="2"/>
    <tableColumn id="3" xr3:uid="{E7D5A5EC-052E-49F4-B9BB-72AD25507D44}" uniqueName="3" name="non_retail_units_per_hour" queryTableFieldId="3"/>
    <tableColumn id="4" xr3:uid="{AAF48A8B-4F4E-47D1-A916-4BB4135B0C7F}" uniqueName="4" name="product_key" queryTableFieldId="4"/>
    <tableColumn id="5" xr3:uid="{FFA5452B-04C7-4967-B42F-CC4790573792}" uniqueName="5" name="quality_level" queryTableFieldId="5"/>
    <tableColumn id="6" xr3:uid="{B74818DF-163E-4C1E-8ADE-4AE2CFA893ED}" uniqueName="6" name="retail_units_per_hour" queryTableFieldId="6"/>
    <tableColumn id="7" xr3:uid="{6EBA1416-3D6F-48A8-AA56-28F12A4F4BB4}" uniqueName="7" name="total_units_per_hour" queryTableFieldId="7"/>
  </tableColumns>
  <tableStyleInfo name="Out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83</v>
      </c>
      <c r="B2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workbookViewId="0">
      <selection activeCell="D10" sqref="D10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76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  <c r="F95" t="s">
        <v>79</v>
      </c>
      <c r="G95" t="s">
        <v>78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80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9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operator="greaterThanOrEqual" allowBlank="1" showErrorMessage="1" sqref="E96 E98:E114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A60F-C907-4D80-B084-CF98FE47725B}">
  <dimension ref="A1:D17"/>
  <sheetViews>
    <sheetView showGridLines="0" workbookViewId="0">
      <selection sqref="A1:D17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5.37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94</v>
      </c>
    </row>
    <row r="2" spans="1:4" x14ac:dyDescent="0.3">
      <c r="A2">
        <v>1</v>
      </c>
      <c r="B2">
        <v>10</v>
      </c>
      <c r="C2">
        <v>2</v>
      </c>
      <c r="D2">
        <v>0.5</v>
      </c>
    </row>
    <row r="3" spans="1:4" x14ac:dyDescent="0.3">
      <c r="A3">
        <v>1</v>
      </c>
      <c r="B3">
        <v>102</v>
      </c>
      <c r="C3">
        <v>2</v>
      </c>
      <c r="D3">
        <v>0</v>
      </c>
    </row>
    <row r="4" spans="1:4" x14ac:dyDescent="0.3">
      <c r="A4">
        <v>1</v>
      </c>
      <c r="B4">
        <v>121</v>
      </c>
      <c r="C4">
        <v>2</v>
      </c>
      <c r="D4">
        <v>0.1</v>
      </c>
    </row>
    <row r="5" spans="1:4" x14ac:dyDescent="0.3">
      <c r="A5">
        <v>1</v>
      </c>
      <c r="B5">
        <v>145</v>
      </c>
      <c r="C5">
        <v>2</v>
      </c>
      <c r="D5">
        <v>0</v>
      </c>
    </row>
    <row r="6" spans="1:4" x14ac:dyDescent="0.3">
      <c r="A6">
        <v>1</v>
      </c>
      <c r="B6">
        <v>23</v>
      </c>
      <c r="C6">
        <v>2</v>
      </c>
      <c r="D6">
        <v>1.8</v>
      </c>
    </row>
    <row r="7" spans="1:4" x14ac:dyDescent="0.3">
      <c r="A7">
        <v>1</v>
      </c>
      <c r="B7">
        <v>62</v>
      </c>
      <c r="C7">
        <v>2</v>
      </c>
      <c r="D7">
        <v>20</v>
      </c>
    </row>
    <row r="8" spans="1:4" x14ac:dyDescent="0.3">
      <c r="A8">
        <v>1</v>
      </c>
      <c r="B8">
        <v>63</v>
      </c>
      <c r="C8">
        <v>2</v>
      </c>
      <c r="D8">
        <v>100</v>
      </c>
    </row>
    <row r="9" spans="1:4" x14ac:dyDescent="0.3">
      <c r="A9">
        <v>1</v>
      </c>
      <c r="B9">
        <v>69</v>
      </c>
      <c r="C9">
        <v>2</v>
      </c>
      <c r="D9">
        <v>1.5</v>
      </c>
    </row>
    <row r="10" spans="1:4" x14ac:dyDescent="0.3">
      <c r="A10">
        <v>1</v>
      </c>
      <c r="B10">
        <v>88</v>
      </c>
      <c r="C10">
        <v>2</v>
      </c>
      <c r="D10">
        <v>4</v>
      </c>
    </row>
    <row r="11" spans="1:4" x14ac:dyDescent="0.3">
      <c r="A11">
        <v>2</v>
      </c>
      <c r="B11">
        <v>102</v>
      </c>
      <c r="C11">
        <v>0</v>
      </c>
      <c r="D11">
        <v>0</v>
      </c>
    </row>
    <row r="12" spans="1:4" x14ac:dyDescent="0.3">
      <c r="A12">
        <v>2</v>
      </c>
      <c r="B12">
        <v>120</v>
      </c>
      <c r="C12">
        <v>0</v>
      </c>
      <c r="D12">
        <v>2.0000000000000004E-2</v>
      </c>
    </row>
    <row r="13" spans="1:4" x14ac:dyDescent="0.3">
      <c r="A13">
        <v>2</v>
      </c>
      <c r="B13">
        <v>134</v>
      </c>
      <c r="C13">
        <v>0</v>
      </c>
      <c r="D13">
        <v>2</v>
      </c>
    </row>
    <row r="14" spans="1:4" x14ac:dyDescent="0.3">
      <c r="A14">
        <v>2</v>
      </c>
      <c r="B14">
        <v>135</v>
      </c>
      <c r="C14">
        <v>0</v>
      </c>
      <c r="D14">
        <v>2.0000000000000004E-2</v>
      </c>
    </row>
    <row r="15" spans="1:4" x14ac:dyDescent="0.3">
      <c r="A15">
        <v>2</v>
      </c>
      <c r="B15">
        <v>145</v>
      </c>
      <c r="C15">
        <v>0</v>
      </c>
      <c r="D15">
        <v>0</v>
      </c>
    </row>
    <row r="16" spans="1:4" x14ac:dyDescent="0.3">
      <c r="A16">
        <v>2</v>
      </c>
      <c r="B16">
        <v>93</v>
      </c>
      <c r="C16">
        <v>0</v>
      </c>
      <c r="D16">
        <v>1</v>
      </c>
    </row>
    <row r="17" spans="1:4" x14ac:dyDescent="0.3">
      <c r="A17">
        <v>2</v>
      </c>
      <c r="B17">
        <v>94</v>
      </c>
      <c r="C17">
        <v>0</v>
      </c>
      <c r="D17">
        <v>1.6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D15"/>
  <sheetViews>
    <sheetView showGridLines="0" workbookViewId="0">
      <selection activeCell="G4" sqref="G4"/>
    </sheetView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26.125" bestFit="1" customWidth="1"/>
  </cols>
  <sheetData>
    <row r="1" spans="1:4" x14ac:dyDescent="0.3">
      <c r="A1" t="s">
        <v>85</v>
      </c>
      <c r="B1" t="s">
        <v>58</v>
      </c>
      <c r="C1" t="s">
        <v>59</v>
      </c>
      <c r="D1" t="s">
        <v>93</v>
      </c>
    </row>
    <row r="2" spans="1:4" x14ac:dyDescent="0.3">
      <c r="A2">
        <v>1</v>
      </c>
      <c r="B2">
        <v>102</v>
      </c>
      <c r="C2">
        <v>2</v>
      </c>
      <c r="D2">
        <v>5680.66</v>
      </c>
    </row>
    <row r="3" spans="1:4" x14ac:dyDescent="0.3">
      <c r="A3">
        <v>1</v>
      </c>
      <c r="B3">
        <v>116</v>
      </c>
      <c r="C3">
        <v>2</v>
      </c>
      <c r="D3">
        <v>0.2</v>
      </c>
    </row>
    <row r="4" spans="1:4" x14ac:dyDescent="0.3">
      <c r="A4">
        <v>1</v>
      </c>
      <c r="B4">
        <v>121</v>
      </c>
      <c r="C4">
        <v>2</v>
      </c>
      <c r="D4">
        <v>6</v>
      </c>
    </row>
    <row r="5" spans="1:4" x14ac:dyDescent="0.3">
      <c r="A5">
        <v>1</v>
      </c>
      <c r="B5">
        <v>145</v>
      </c>
      <c r="C5">
        <v>2</v>
      </c>
      <c r="D5">
        <v>44</v>
      </c>
    </row>
    <row r="6" spans="1:4" x14ac:dyDescent="0.3">
      <c r="A6">
        <v>1</v>
      </c>
      <c r="B6">
        <v>23</v>
      </c>
      <c r="C6">
        <v>2</v>
      </c>
      <c r="D6">
        <v>6.5</v>
      </c>
    </row>
    <row r="7" spans="1:4" x14ac:dyDescent="0.3">
      <c r="A7">
        <v>1</v>
      </c>
      <c r="B7">
        <v>62</v>
      </c>
      <c r="C7">
        <v>2</v>
      </c>
      <c r="D7">
        <v>20000</v>
      </c>
    </row>
    <row r="8" spans="1:4" x14ac:dyDescent="0.3">
      <c r="A8">
        <v>1</v>
      </c>
      <c r="B8">
        <v>63</v>
      </c>
      <c r="C8">
        <v>2</v>
      </c>
      <c r="D8">
        <v>9.375E-2</v>
      </c>
    </row>
    <row r="9" spans="1:4" x14ac:dyDescent="0.3">
      <c r="A9">
        <v>1</v>
      </c>
      <c r="B9">
        <v>88</v>
      </c>
      <c r="C9">
        <v>2</v>
      </c>
      <c r="D9">
        <v>1.8</v>
      </c>
    </row>
    <row r="10" spans="1:4" x14ac:dyDescent="0.3">
      <c r="A10">
        <v>2</v>
      </c>
      <c r="B10">
        <v>102</v>
      </c>
      <c r="C10">
        <v>0</v>
      </c>
      <c r="D10">
        <v>1</v>
      </c>
    </row>
    <row r="11" spans="1:4" x14ac:dyDescent="0.3">
      <c r="A11">
        <v>2</v>
      </c>
      <c r="B11">
        <v>120</v>
      </c>
      <c r="C11">
        <v>0</v>
      </c>
      <c r="D11">
        <v>1.62</v>
      </c>
    </row>
    <row r="12" spans="1:4" x14ac:dyDescent="0.3">
      <c r="A12">
        <v>2</v>
      </c>
      <c r="B12">
        <v>134</v>
      </c>
      <c r="C12">
        <v>0</v>
      </c>
      <c r="D12">
        <v>1</v>
      </c>
    </row>
    <row r="13" spans="1:4" x14ac:dyDescent="0.3">
      <c r="A13">
        <v>2</v>
      </c>
      <c r="B13">
        <v>135</v>
      </c>
      <c r="C13">
        <v>0</v>
      </c>
      <c r="D13">
        <v>2</v>
      </c>
    </row>
    <row r="14" spans="1:4" x14ac:dyDescent="0.3">
      <c r="A14">
        <v>2</v>
      </c>
      <c r="B14">
        <v>145</v>
      </c>
      <c r="C14">
        <v>0</v>
      </c>
      <c r="D14">
        <v>4.862000000000001</v>
      </c>
    </row>
    <row r="15" spans="1:4" x14ac:dyDescent="0.3">
      <c r="A15">
        <v>2</v>
      </c>
      <c r="B15">
        <v>94</v>
      </c>
      <c r="C15">
        <v>0</v>
      </c>
      <c r="D15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H18"/>
  <sheetViews>
    <sheetView showGridLines="0" workbookViewId="0"/>
  </sheetViews>
  <sheetFormatPr defaultRowHeight="16.5" x14ac:dyDescent="0.3"/>
  <cols>
    <col min="1" max="1" width="14.875" bestFit="1" customWidth="1"/>
    <col min="2" max="2" width="19.875" bestFit="1" customWidth="1"/>
    <col min="3" max="3" width="13.75" bestFit="1" customWidth="1"/>
    <col min="4" max="4" width="13.875" bestFit="1" customWidth="1"/>
    <col min="5" max="5" width="24.875" bestFit="1" customWidth="1"/>
    <col min="6" max="6" width="23.5" bestFit="1" customWidth="1"/>
    <col min="7" max="7" width="26.125" bestFit="1" customWidth="1"/>
    <col min="8" max="8" width="25.375" bestFit="1" customWidth="1"/>
  </cols>
  <sheetData>
    <row r="1" spans="1:8" x14ac:dyDescent="0.3">
      <c r="A1" t="s">
        <v>85</v>
      </c>
      <c r="B1" t="s">
        <v>90</v>
      </c>
      <c r="C1" t="s">
        <v>58</v>
      </c>
      <c r="D1" t="s">
        <v>59</v>
      </c>
      <c r="E1" t="s">
        <v>91</v>
      </c>
      <c r="F1" t="s">
        <v>92</v>
      </c>
      <c r="G1" t="s">
        <v>93</v>
      </c>
      <c r="H1" t="s">
        <v>94</v>
      </c>
    </row>
    <row r="2" spans="1:8" x14ac:dyDescent="0.3">
      <c r="A2">
        <v>1</v>
      </c>
      <c r="B2">
        <v>0.5</v>
      </c>
      <c r="C2">
        <v>10</v>
      </c>
      <c r="D2">
        <v>2</v>
      </c>
      <c r="E2">
        <v>0</v>
      </c>
      <c r="F2">
        <v>0.5</v>
      </c>
      <c r="G2">
        <v>0</v>
      </c>
      <c r="H2">
        <v>0.5</v>
      </c>
    </row>
    <row r="3" spans="1:8" x14ac:dyDescent="0.3">
      <c r="A3">
        <v>1</v>
      </c>
      <c r="B3">
        <v>-5680.66</v>
      </c>
      <c r="C3">
        <v>102</v>
      </c>
      <c r="D3">
        <v>2</v>
      </c>
      <c r="E3">
        <v>5680.66</v>
      </c>
      <c r="F3">
        <v>0</v>
      </c>
      <c r="G3">
        <v>5680.66</v>
      </c>
      <c r="H3">
        <v>0</v>
      </c>
    </row>
    <row r="4" spans="1:8" x14ac:dyDescent="0.3">
      <c r="A4">
        <v>1</v>
      </c>
      <c r="B4">
        <v>-0.2</v>
      </c>
      <c r="C4">
        <v>116</v>
      </c>
      <c r="D4">
        <v>2</v>
      </c>
      <c r="E4">
        <v>0.2</v>
      </c>
      <c r="F4">
        <v>0</v>
      </c>
      <c r="G4">
        <v>0.2</v>
      </c>
      <c r="H4">
        <v>0</v>
      </c>
    </row>
    <row r="5" spans="1:8" x14ac:dyDescent="0.3">
      <c r="A5">
        <v>1</v>
      </c>
      <c r="B5">
        <v>-5.9</v>
      </c>
      <c r="C5">
        <v>121</v>
      </c>
      <c r="D5">
        <v>2</v>
      </c>
      <c r="E5">
        <v>5.9</v>
      </c>
      <c r="F5">
        <v>0</v>
      </c>
      <c r="G5">
        <v>6</v>
      </c>
      <c r="H5">
        <v>0.1</v>
      </c>
    </row>
    <row r="6" spans="1:8" x14ac:dyDescent="0.3">
      <c r="A6">
        <v>1</v>
      </c>
      <c r="B6">
        <v>-44</v>
      </c>
      <c r="C6">
        <v>145</v>
      </c>
      <c r="D6">
        <v>2</v>
      </c>
      <c r="E6">
        <v>44</v>
      </c>
      <c r="F6">
        <v>0</v>
      </c>
      <c r="G6">
        <v>44</v>
      </c>
      <c r="H6">
        <v>0</v>
      </c>
    </row>
    <row r="7" spans="1:8" x14ac:dyDescent="0.3">
      <c r="A7">
        <v>1</v>
      </c>
      <c r="B7">
        <v>-4.7</v>
      </c>
      <c r="C7">
        <v>23</v>
      </c>
      <c r="D7">
        <v>2</v>
      </c>
      <c r="E7">
        <v>4.7</v>
      </c>
      <c r="F7">
        <v>0</v>
      </c>
      <c r="G7">
        <v>6.5</v>
      </c>
      <c r="H7">
        <v>1.8</v>
      </c>
    </row>
    <row r="8" spans="1:8" x14ac:dyDescent="0.3">
      <c r="A8">
        <v>1</v>
      </c>
      <c r="B8">
        <v>-19980</v>
      </c>
      <c r="C8">
        <v>62</v>
      </c>
      <c r="D8">
        <v>2</v>
      </c>
      <c r="E8">
        <v>19980</v>
      </c>
      <c r="F8">
        <v>0</v>
      </c>
      <c r="G8">
        <v>20000</v>
      </c>
      <c r="H8">
        <v>20</v>
      </c>
    </row>
    <row r="9" spans="1:8" x14ac:dyDescent="0.3">
      <c r="A9">
        <v>1</v>
      </c>
      <c r="B9">
        <v>99.90625</v>
      </c>
      <c r="C9">
        <v>63</v>
      </c>
      <c r="D9">
        <v>2</v>
      </c>
      <c r="E9">
        <v>0</v>
      </c>
      <c r="F9">
        <v>99.90625</v>
      </c>
      <c r="G9">
        <v>9.375E-2</v>
      </c>
      <c r="H9">
        <v>100</v>
      </c>
    </row>
    <row r="10" spans="1:8" x14ac:dyDescent="0.3">
      <c r="A10">
        <v>1</v>
      </c>
      <c r="B10">
        <v>1.5</v>
      </c>
      <c r="C10">
        <v>69</v>
      </c>
      <c r="D10">
        <v>2</v>
      </c>
      <c r="E10">
        <v>0</v>
      </c>
      <c r="F10">
        <v>1.5</v>
      </c>
      <c r="G10">
        <v>0</v>
      </c>
      <c r="H10">
        <v>1.5</v>
      </c>
    </row>
    <row r="11" spans="1:8" x14ac:dyDescent="0.3">
      <c r="A11">
        <v>1</v>
      </c>
      <c r="B11">
        <v>2.2000000000000002</v>
      </c>
      <c r="C11">
        <v>88</v>
      </c>
      <c r="D11">
        <v>2</v>
      </c>
      <c r="E11">
        <v>0</v>
      </c>
      <c r="F11">
        <v>2.2000000000000002</v>
      </c>
      <c r="G11">
        <v>1.8</v>
      </c>
      <c r="H11">
        <v>4</v>
      </c>
    </row>
    <row r="12" spans="1:8" x14ac:dyDescent="0.3">
      <c r="A12">
        <v>2</v>
      </c>
      <c r="B12">
        <v>-1</v>
      </c>
      <c r="C12">
        <v>102</v>
      </c>
      <c r="D12">
        <v>0</v>
      </c>
      <c r="E12">
        <v>1</v>
      </c>
      <c r="F12">
        <v>0</v>
      </c>
      <c r="G12">
        <v>1</v>
      </c>
      <c r="H12">
        <v>0</v>
      </c>
    </row>
    <row r="13" spans="1:8" x14ac:dyDescent="0.3">
      <c r="A13">
        <v>2</v>
      </c>
      <c r="B13">
        <v>-1.6</v>
      </c>
      <c r="C13">
        <v>120</v>
      </c>
      <c r="D13">
        <v>0</v>
      </c>
      <c r="E13">
        <v>1.6</v>
      </c>
      <c r="F13">
        <v>0</v>
      </c>
      <c r="G13">
        <v>1.62</v>
      </c>
      <c r="H13">
        <v>2.0000000000000004E-2</v>
      </c>
    </row>
    <row r="14" spans="1:8" x14ac:dyDescent="0.3">
      <c r="A14">
        <v>2</v>
      </c>
      <c r="B14">
        <v>1</v>
      </c>
      <c r="C14">
        <v>134</v>
      </c>
      <c r="D14">
        <v>0</v>
      </c>
      <c r="E14">
        <v>0</v>
      </c>
      <c r="F14">
        <v>1</v>
      </c>
      <c r="G14">
        <v>1</v>
      </c>
      <c r="H14">
        <v>2</v>
      </c>
    </row>
    <row r="15" spans="1:8" x14ac:dyDescent="0.3">
      <c r="A15">
        <v>2</v>
      </c>
      <c r="B15">
        <v>-1.98</v>
      </c>
      <c r="C15">
        <v>135</v>
      </c>
      <c r="D15">
        <v>0</v>
      </c>
      <c r="E15">
        <v>1.98</v>
      </c>
      <c r="F15">
        <v>0</v>
      </c>
      <c r="G15">
        <v>2</v>
      </c>
      <c r="H15">
        <v>2.0000000000000004E-2</v>
      </c>
    </row>
    <row r="16" spans="1:8" x14ac:dyDescent="0.3">
      <c r="A16">
        <v>2</v>
      </c>
      <c r="B16">
        <v>-4.862000000000001</v>
      </c>
      <c r="C16">
        <v>145</v>
      </c>
      <c r="D16">
        <v>0</v>
      </c>
      <c r="E16">
        <v>4.862000000000001</v>
      </c>
      <c r="F16">
        <v>0</v>
      </c>
      <c r="G16">
        <v>4.862000000000001</v>
      </c>
      <c r="H16">
        <v>0</v>
      </c>
    </row>
    <row r="17" spans="1:8" x14ac:dyDescent="0.3">
      <c r="A17">
        <v>2</v>
      </c>
      <c r="B17">
        <v>1</v>
      </c>
      <c r="C17">
        <v>93</v>
      </c>
      <c r="D17">
        <v>0</v>
      </c>
      <c r="E17">
        <v>0</v>
      </c>
      <c r="F17">
        <v>1</v>
      </c>
      <c r="G17">
        <v>0</v>
      </c>
      <c r="H17">
        <v>1</v>
      </c>
    </row>
    <row r="18" spans="1:8" x14ac:dyDescent="0.3">
      <c r="A18">
        <v>2</v>
      </c>
      <c r="B18">
        <v>-3.4</v>
      </c>
      <c r="C18">
        <v>94</v>
      </c>
      <c r="D18">
        <v>0</v>
      </c>
      <c r="E18">
        <v>3.4</v>
      </c>
      <c r="F18">
        <v>0</v>
      </c>
      <c r="G18">
        <v>5</v>
      </c>
      <c r="H18">
        <v>1.6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G18"/>
  <sheetViews>
    <sheetView showGridLines="0" workbookViewId="0">
      <selection activeCell="I9" sqref="I9"/>
    </sheetView>
  </sheetViews>
  <sheetFormatPr defaultRowHeight="16.5" x14ac:dyDescent="0.3"/>
  <cols>
    <col min="1" max="1" width="25" bestFit="1" customWidth="1"/>
    <col min="2" max="2" width="13.625" bestFit="1" customWidth="1"/>
    <col min="3" max="3" width="14.875" bestFit="1" customWidth="1"/>
    <col min="4" max="4" width="10.875" bestFit="1" customWidth="1"/>
    <col min="5" max="5" width="9.625" bestFit="1" customWidth="1"/>
    <col min="6" max="6" width="13.75" bestFit="1" customWidth="1"/>
    <col min="7" max="7" width="13.875" bestFit="1" customWidth="1"/>
  </cols>
  <sheetData>
    <row r="1" spans="1:7" x14ac:dyDescent="0.3">
      <c r="A1" t="s">
        <v>95</v>
      </c>
      <c r="B1" t="s">
        <v>96</v>
      </c>
      <c r="C1" t="s">
        <v>85</v>
      </c>
      <c r="D1" t="s">
        <v>97</v>
      </c>
      <c r="E1" t="s">
        <v>98</v>
      </c>
      <c r="F1" t="s">
        <v>58</v>
      </c>
      <c r="G1" t="s">
        <v>59</v>
      </c>
    </row>
    <row r="2" spans="1:7" x14ac:dyDescent="0.3">
      <c r="A2">
        <v>0.5</v>
      </c>
      <c r="B2">
        <v>2</v>
      </c>
      <c r="C2">
        <v>1</v>
      </c>
      <c r="D2" t="s">
        <v>99</v>
      </c>
      <c r="E2">
        <v>1</v>
      </c>
      <c r="F2">
        <v>10</v>
      </c>
      <c r="G2">
        <v>2</v>
      </c>
    </row>
    <row r="3" spans="1:7" x14ac:dyDescent="0.3">
      <c r="A3">
        <v>5680.66</v>
      </c>
      <c r="B3">
        <v>2</v>
      </c>
      <c r="C3">
        <v>1</v>
      </c>
      <c r="D3" t="s">
        <v>100</v>
      </c>
      <c r="E3">
        <v>1</v>
      </c>
      <c r="F3">
        <v>102</v>
      </c>
      <c r="G3">
        <v>2</v>
      </c>
    </row>
    <row r="4" spans="1:7" x14ac:dyDescent="0.3">
      <c r="A4">
        <v>0.2</v>
      </c>
      <c r="B4">
        <v>2</v>
      </c>
      <c r="C4">
        <v>1</v>
      </c>
      <c r="D4" t="s">
        <v>100</v>
      </c>
      <c r="E4">
        <v>1</v>
      </c>
      <c r="F4">
        <v>116</v>
      </c>
      <c r="G4">
        <v>2</v>
      </c>
    </row>
    <row r="5" spans="1:7" x14ac:dyDescent="0.3">
      <c r="A5">
        <v>5.9</v>
      </c>
      <c r="B5">
        <v>2</v>
      </c>
      <c r="C5">
        <v>1</v>
      </c>
      <c r="D5" t="s">
        <v>100</v>
      </c>
      <c r="E5">
        <v>1</v>
      </c>
      <c r="F5">
        <v>121</v>
      </c>
      <c r="G5">
        <v>2</v>
      </c>
    </row>
    <row r="6" spans="1:7" x14ac:dyDescent="0.3">
      <c r="A6">
        <v>44</v>
      </c>
      <c r="B6">
        <v>2</v>
      </c>
      <c r="C6">
        <v>1</v>
      </c>
      <c r="D6" t="s">
        <v>100</v>
      </c>
      <c r="E6">
        <v>1</v>
      </c>
      <c r="F6">
        <v>145</v>
      </c>
      <c r="G6">
        <v>2</v>
      </c>
    </row>
    <row r="7" spans="1:7" x14ac:dyDescent="0.3">
      <c r="A7">
        <v>4.7</v>
      </c>
      <c r="B7">
        <v>2</v>
      </c>
      <c r="C7">
        <v>1</v>
      </c>
      <c r="D7" t="s">
        <v>100</v>
      </c>
      <c r="E7">
        <v>1</v>
      </c>
      <c r="F7">
        <v>23</v>
      </c>
      <c r="G7">
        <v>2</v>
      </c>
    </row>
    <row r="8" spans="1:7" x14ac:dyDescent="0.3">
      <c r="A8">
        <v>19980</v>
      </c>
      <c r="B8">
        <v>2</v>
      </c>
      <c r="C8">
        <v>1</v>
      </c>
      <c r="D8" t="s">
        <v>100</v>
      </c>
      <c r="E8">
        <v>1</v>
      </c>
      <c r="F8">
        <v>62</v>
      </c>
      <c r="G8">
        <v>2</v>
      </c>
    </row>
    <row r="9" spans="1:7" x14ac:dyDescent="0.3">
      <c r="A9">
        <v>99.90625</v>
      </c>
      <c r="B9">
        <v>2</v>
      </c>
      <c r="C9">
        <v>1</v>
      </c>
      <c r="D9" t="s">
        <v>99</v>
      </c>
      <c r="E9">
        <v>1</v>
      </c>
      <c r="F9">
        <v>63</v>
      </c>
      <c r="G9">
        <v>2</v>
      </c>
    </row>
    <row r="10" spans="1:7" x14ac:dyDescent="0.3">
      <c r="A10">
        <v>1.5</v>
      </c>
      <c r="B10">
        <v>2</v>
      </c>
      <c r="C10">
        <v>1</v>
      </c>
      <c r="D10" t="s">
        <v>99</v>
      </c>
      <c r="E10">
        <v>1</v>
      </c>
      <c r="F10">
        <v>69</v>
      </c>
      <c r="G10">
        <v>2</v>
      </c>
    </row>
    <row r="11" spans="1:7" x14ac:dyDescent="0.3">
      <c r="A11">
        <v>2.2000000000000002</v>
      </c>
      <c r="B11">
        <v>2</v>
      </c>
      <c r="C11">
        <v>1</v>
      </c>
      <c r="D11" t="s">
        <v>99</v>
      </c>
      <c r="E11">
        <v>1</v>
      </c>
      <c r="F11">
        <v>88</v>
      </c>
      <c r="G11">
        <v>2</v>
      </c>
    </row>
    <row r="12" spans="1:7" x14ac:dyDescent="0.3">
      <c r="A12">
        <v>1</v>
      </c>
      <c r="B12">
        <v>2</v>
      </c>
      <c r="C12">
        <v>2</v>
      </c>
      <c r="D12" t="s">
        <v>100</v>
      </c>
      <c r="E12">
        <v>1</v>
      </c>
      <c r="F12">
        <v>102</v>
      </c>
      <c r="G12">
        <v>0</v>
      </c>
    </row>
    <row r="13" spans="1:7" x14ac:dyDescent="0.3">
      <c r="A13">
        <v>1.6</v>
      </c>
      <c r="B13">
        <v>2</v>
      </c>
      <c r="C13">
        <v>2</v>
      </c>
      <c r="D13" t="s">
        <v>100</v>
      </c>
      <c r="E13">
        <v>1</v>
      </c>
      <c r="F13">
        <v>120</v>
      </c>
      <c r="G13">
        <v>0</v>
      </c>
    </row>
    <row r="14" spans="1:7" x14ac:dyDescent="0.3">
      <c r="A14">
        <v>1</v>
      </c>
      <c r="B14">
        <v>2</v>
      </c>
      <c r="C14">
        <v>2</v>
      </c>
      <c r="D14" t="s">
        <v>99</v>
      </c>
      <c r="E14">
        <v>1</v>
      </c>
      <c r="F14">
        <v>134</v>
      </c>
      <c r="G14">
        <v>0</v>
      </c>
    </row>
    <row r="15" spans="1:7" x14ac:dyDescent="0.3">
      <c r="A15">
        <v>1.98</v>
      </c>
      <c r="B15">
        <v>2</v>
      </c>
      <c r="C15">
        <v>2</v>
      </c>
      <c r="D15" t="s">
        <v>100</v>
      </c>
      <c r="E15">
        <v>1</v>
      </c>
      <c r="F15">
        <v>135</v>
      </c>
      <c r="G15">
        <v>0</v>
      </c>
    </row>
    <row r="16" spans="1:7" x14ac:dyDescent="0.3">
      <c r="A16">
        <v>4.862000000000001</v>
      </c>
      <c r="B16">
        <v>2</v>
      </c>
      <c r="C16">
        <v>2</v>
      </c>
      <c r="D16" t="s">
        <v>100</v>
      </c>
      <c r="E16">
        <v>1</v>
      </c>
      <c r="F16">
        <v>145</v>
      </c>
      <c r="G16">
        <v>0</v>
      </c>
    </row>
    <row r="17" spans="1:7" x14ac:dyDescent="0.3">
      <c r="A17">
        <v>1</v>
      </c>
      <c r="B17">
        <v>3</v>
      </c>
      <c r="C17">
        <v>2</v>
      </c>
      <c r="D17" t="s">
        <v>99</v>
      </c>
      <c r="E17">
        <v>1</v>
      </c>
      <c r="F17">
        <v>93</v>
      </c>
      <c r="G17">
        <v>0</v>
      </c>
    </row>
    <row r="18" spans="1:7" x14ac:dyDescent="0.3">
      <c r="A18">
        <v>3.4</v>
      </c>
      <c r="B18">
        <v>2</v>
      </c>
      <c r="C18">
        <v>2</v>
      </c>
      <c r="D18" t="s">
        <v>100</v>
      </c>
      <c r="E18">
        <v>1</v>
      </c>
      <c r="F18">
        <v>94</v>
      </c>
      <c r="G18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D4C3F-F3E3-4585-A6FA-C2D7CD6E3AF9}">
  <dimension ref="A1:E2"/>
  <sheetViews>
    <sheetView showGridLines="0" workbookViewId="0"/>
  </sheetViews>
  <sheetFormatPr defaultRowHeight="16.5" x14ac:dyDescent="0.3"/>
  <cols>
    <col min="1" max="1" width="14.875" bestFit="1" customWidth="1"/>
    <col min="2" max="2" width="13.75" bestFit="1" customWidth="1"/>
    <col min="3" max="3" width="13.875" bestFit="1" customWidth="1"/>
    <col min="4" max="4" width="10.875" bestFit="1" customWidth="1"/>
    <col min="5" max="5" width="26" bestFit="1" customWidth="1"/>
  </cols>
  <sheetData>
    <row r="1" spans="1:5" x14ac:dyDescent="0.3">
      <c r="A1" t="s">
        <v>85</v>
      </c>
      <c r="B1" t="s">
        <v>58</v>
      </c>
      <c r="C1" t="s">
        <v>59</v>
      </c>
      <c r="D1" t="s">
        <v>97</v>
      </c>
      <c r="E1" t="s">
        <v>101</v>
      </c>
    </row>
    <row r="2" spans="1:5" x14ac:dyDescent="0.3">
      <c r="D2" s="8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G18"/>
  <sheetViews>
    <sheetView showGridLines="0" workbookViewId="0">
      <selection activeCell="G5" sqref="G5"/>
    </sheetView>
  </sheetViews>
  <sheetFormatPr defaultRowHeight="16.5" x14ac:dyDescent="0.3"/>
  <cols>
    <col min="1" max="1" width="14.875" bestFit="1" customWidth="1"/>
    <col min="2" max="2" width="16.875" bestFit="1" customWidth="1"/>
    <col min="3" max="3" width="25.75" bestFit="1" customWidth="1"/>
    <col min="4" max="4" width="13.75" bestFit="1" customWidth="1"/>
    <col min="5" max="5" width="13.875" bestFit="1" customWidth="1"/>
    <col min="6" max="6" width="21.5" bestFit="1" customWidth="1"/>
    <col min="7" max="7" width="21.125" bestFit="1" customWidth="1"/>
  </cols>
  <sheetData>
    <row r="1" spans="1:7" x14ac:dyDescent="0.3">
      <c r="A1" t="s">
        <v>85</v>
      </c>
      <c r="B1" t="s">
        <v>86</v>
      </c>
      <c r="C1" t="s">
        <v>87</v>
      </c>
      <c r="D1" t="s">
        <v>58</v>
      </c>
      <c r="E1" t="s">
        <v>59</v>
      </c>
      <c r="F1" t="s">
        <v>88</v>
      </c>
      <c r="G1" t="s">
        <v>89</v>
      </c>
    </row>
    <row r="2" spans="1:7" x14ac:dyDescent="0.3">
      <c r="A2">
        <v>1</v>
      </c>
      <c r="B2" t="b">
        <v>0</v>
      </c>
      <c r="C2">
        <v>0.5</v>
      </c>
      <c r="D2">
        <v>10</v>
      </c>
      <c r="E2">
        <v>2</v>
      </c>
      <c r="F2">
        <v>0</v>
      </c>
      <c r="G2">
        <v>0.5</v>
      </c>
    </row>
    <row r="3" spans="1:7" x14ac:dyDescent="0.3">
      <c r="A3">
        <v>1</v>
      </c>
      <c r="B3" t="b">
        <v>0</v>
      </c>
      <c r="C3">
        <v>5680.66</v>
      </c>
      <c r="D3">
        <v>102</v>
      </c>
      <c r="E3">
        <v>2</v>
      </c>
      <c r="F3">
        <v>0</v>
      </c>
      <c r="G3">
        <v>5680.66</v>
      </c>
    </row>
    <row r="4" spans="1:7" x14ac:dyDescent="0.3">
      <c r="A4">
        <v>1</v>
      </c>
      <c r="B4" t="b">
        <v>0</v>
      </c>
      <c r="C4">
        <v>0.2</v>
      </c>
      <c r="D4">
        <v>116</v>
      </c>
      <c r="E4">
        <v>2</v>
      </c>
      <c r="F4">
        <v>0</v>
      </c>
      <c r="G4">
        <v>0.2</v>
      </c>
    </row>
    <row r="5" spans="1:7" x14ac:dyDescent="0.3">
      <c r="A5">
        <v>1</v>
      </c>
      <c r="B5" t="b">
        <v>0</v>
      </c>
      <c r="C5">
        <v>5.9</v>
      </c>
      <c r="D5">
        <v>121</v>
      </c>
      <c r="E5">
        <v>2</v>
      </c>
      <c r="F5">
        <v>0</v>
      </c>
      <c r="G5">
        <v>5.9</v>
      </c>
    </row>
    <row r="6" spans="1:7" x14ac:dyDescent="0.3">
      <c r="A6">
        <v>1</v>
      </c>
      <c r="B6" t="b">
        <v>0</v>
      </c>
      <c r="C6">
        <v>44</v>
      </c>
      <c r="D6">
        <v>145</v>
      </c>
      <c r="E6">
        <v>2</v>
      </c>
      <c r="F6">
        <v>0</v>
      </c>
      <c r="G6">
        <v>44</v>
      </c>
    </row>
    <row r="7" spans="1:7" x14ac:dyDescent="0.3">
      <c r="A7">
        <v>1</v>
      </c>
      <c r="B7" t="b">
        <v>0</v>
      </c>
      <c r="C7">
        <v>4.7</v>
      </c>
      <c r="D7">
        <v>23</v>
      </c>
      <c r="E7">
        <v>2</v>
      </c>
      <c r="F7">
        <v>0</v>
      </c>
      <c r="G7">
        <v>4.7</v>
      </c>
    </row>
    <row r="8" spans="1:7" x14ac:dyDescent="0.3">
      <c r="A8">
        <v>1</v>
      </c>
      <c r="B8" t="b">
        <v>0</v>
      </c>
      <c r="C8">
        <v>19980</v>
      </c>
      <c r="D8">
        <v>62</v>
      </c>
      <c r="E8">
        <v>2</v>
      </c>
      <c r="F8">
        <v>0</v>
      </c>
      <c r="G8">
        <v>19980</v>
      </c>
    </row>
    <row r="9" spans="1:7" x14ac:dyDescent="0.3">
      <c r="A9">
        <v>1</v>
      </c>
      <c r="B9" t="b">
        <v>0</v>
      </c>
      <c r="C9">
        <v>99.90625</v>
      </c>
      <c r="D9">
        <v>63</v>
      </c>
      <c r="E9">
        <v>2</v>
      </c>
      <c r="F9">
        <v>0</v>
      </c>
      <c r="G9">
        <v>99.90625</v>
      </c>
    </row>
    <row r="10" spans="1:7" x14ac:dyDescent="0.3">
      <c r="A10">
        <v>1</v>
      </c>
      <c r="B10" t="b">
        <v>0</v>
      </c>
      <c r="C10">
        <v>1.5</v>
      </c>
      <c r="D10">
        <v>69</v>
      </c>
      <c r="E10">
        <v>2</v>
      </c>
      <c r="F10">
        <v>0</v>
      </c>
      <c r="G10">
        <v>1.5</v>
      </c>
    </row>
    <row r="11" spans="1:7" x14ac:dyDescent="0.3">
      <c r="A11">
        <v>1</v>
      </c>
      <c r="B11" t="b">
        <v>0</v>
      </c>
      <c r="C11">
        <v>2.2000000000000002</v>
      </c>
      <c r="D11">
        <v>88</v>
      </c>
      <c r="E11">
        <v>2</v>
      </c>
      <c r="F11">
        <v>0</v>
      </c>
      <c r="G11">
        <v>2.2000000000000002</v>
      </c>
    </row>
    <row r="12" spans="1:7" x14ac:dyDescent="0.3">
      <c r="A12">
        <v>2</v>
      </c>
      <c r="B12" t="b">
        <v>0</v>
      </c>
      <c r="C12">
        <v>1</v>
      </c>
      <c r="D12">
        <v>102</v>
      </c>
      <c r="E12">
        <v>0</v>
      </c>
      <c r="F12">
        <v>0</v>
      </c>
      <c r="G12">
        <v>1</v>
      </c>
    </row>
    <row r="13" spans="1:7" x14ac:dyDescent="0.3">
      <c r="A13">
        <v>2</v>
      </c>
      <c r="B13" t="b">
        <v>0</v>
      </c>
      <c r="C13">
        <v>1.6</v>
      </c>
      <c r="D13">
        <v>120</v>
      </c>
      <c r="E13">
        <v>0</v>
      </c>
      <c r="F13">
        <v>0</v>
      </c>
      <c r="G13">
        <v>1.6</v>
      </c>
    </row>
    <row r="14" spans="1:7" x14ac:dyDescent="0.3">
      <c r="A14">
        <v>2</v>
      </c>
      <c r="B14" t="b">
        <v>0</v>
      </c>
      <c r="C14">
        <v>1</v>
      </c>
      <c r="D14">
        <v>134</v>
      </c>
      <c r="E14">
        <v>0</v>
      </c>
      <c r="F14">
        <v>0</v>
      </c>
      <c r="G14">
        <v>1</v>
      </c>
    </row>
    <row r="15" spans="1:7" x14ac:dyDescent="0.3">
      <c r="A15">
        <v>2</v>
      </c>
      <c r="B15" t="b">
        <v>0</v>
      </c>
      <c r="C15">
        <v>1.98</v>
      </c>
      <c r="D15">
        <v>135</v>
      </c>
      <c r="E15">
        <v>0</v>
      </c>
      <c r="F15">
        <v>0</v>
      </c>
      <c r="G15">
        <v>1.98</v>
      </c>
    </row>
    <row r="16" spans="1:7" x14ac:dyDescent="0.3">
      <c r="A16">
        <v>2</v>
      </c>
      <c r="B16" t="b">
        <v>0</v>
      </c>
      <c r="C16">
        <v>4.862000000000001</v>
      </c>
      <c r="D16">
        <v>145</v>
      </c>
      <c r="E16">
        <v>0</v>
      </c>
      <c r="F16">
        <v>0</v>
      </c>
      <c r="G16">
        <v>4.862000000000001</v>
      </c>
    </row>
    <row r="17" spans="1:7" x14ac:dyDescent="0.3">
      <c r="A17">
        <v>2</v>
      </c>
      <c r="B17" t="b">
        <v>0</v>
      </c>
      <c r="C17">
        <v>0</v>
      </c>
      <c r="D17">
        <v>93</v>
      </c>
      <c r="E17">
        <v>0</v>
      </c>
      <c r="F17">
        <v>1</v>
      </c>
      <c r="G17">
        <v>1</v>
      </c>
    </row>
    <row r="18" spans="1:7" x14ac:dyDescent="0.3">
      <c r="A18">
        <v>2</v>
      </c>
      <c r="B18" t="b">
        <v>0</v>
      </c>
      <c r="C18">
        <v>3.4</v>
      </c>
      <c r="D18">
        <v>94</v>
      </c>
      <c r="E18">
        <v>0</v>
      </c>
      <c r="F18">
        <v>0</v>
      </c>
      <c r="G18">
        <v>3.4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3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4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Paths</vt:lpstr>
      <vt:lpstr>Inputs</vt:lpstr>
      <vt:lpstr>Output</vt:lpstr>
      <vt:lpstr>_out_production_intent</vt:lpstr>
      <vt:lpstr>_out_product_bom_consumption</vt:lpstr>
      <vt:lpstr>_out_balance_plan</vt:lpstr>
      <vt:lpstr>_out_clearing_result</vt:lpstr>
      <vt:lpstr>_out_clearing_remainder</vt:lpstr>
      <vt:lpstr>out_allocation_summary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InstallationRoot</vt:lpstr>
      <vt:lpstr>MapStructureList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2026-06-03T13:54:21Z</dcterms:modified>
  <cp:category/>
  <cp:contentStatus/>
</cp:coreProperties>
</file>