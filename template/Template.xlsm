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1300" documentId="8_{372FFF71-BA85-4A67-B07D-9803677B54DF}" xr6:coauthVersionLast="47" xr6:coauthVersionMax="47" xr10:uidLastSave="{E5215E87-FC85-47E4-B2CA-1268AD14C8A7}"/>
  <bookViews>
    <workbookView xWindow="-120" yWindow="-120" windowWidth="29040" windowHeight="15720" xr2:uid="{005547BF-1833-45E8-9E6B-655A694EBD70}"/>
  </bookViews>
  <sheets>
    <sheet name="Inputs" sheetId="132" r:id="rId1"/>
    <sheet name="Output" sheetId="133" r:id="rId2"/>
    <sheet name="Help" sheetId="141" r:id="rId3"/>
    <sheet name="_ing_company" sheetId="148" state="hidden" r:id="rId4"/>
    <sheet name="_ing_map_structure" sheetId="149" state="hidden" r:id="rId5"/>
    <sheet name="_ing_override_retail_prices" sheetId="147" state="hidden" r:id="rId6"/>
    <sheet name="_ing_override_exchange_prices" sheetId="146" state="hidden" r:id="rId7"/>
    <sheet name="_ing_clearing_plan" sheetId="145" state="hidden" r:id="rId8"/>
    <sheet name="_ing_production_plan" sheetId="144" state="hidden" r:id="rId9"/>
  </sheets>
  <definedNames>
    <definedName name="ExternalData_1" localSheetId="3">_ing_company!$A$1</definedName>
    <definedName name="ExternalData_1" localSheetId="4">_ing_map_structure!$A$1</definedName>
    <definedName name="ExternalData_3" localSheetId="8">_ing_production_plan!$A$1</definedName>
    <definedName name="ExternalData_4" localSheetId="7">_ing_clearing_plan!$A$1</definedName>
    <definedName name="ExternalData_5" localSheetId="6">_ing_override_exchange_prices!$A$1</definedName>
    <definedName name="ExternalData_6" localSheetId="5">_ing_override_retail_prices!$A$1</definedName>
    <definedName name="MapStructureList">tblMapStructure[Company Key]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33" l="1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4CC6-5DD7-4D47-AA18-C06F2971ED7F}" keepAlive="1" name="Query - _ing_clearing_plan" description="Connection to the '_ing_clearing_plan' query in the workbook." type="5" refreshedVersion="0" background="1" saveData="1">
    <dbPr connection="Provider=Microsoft.Mashup.OleDb.1;Data Source=$Workbook$;Location=_ing_clearing_plan;Extended Properties=&quot;&quot;" command="SELECT * FROM [_ing_clearing_plan]"/>
  </connection>
  <connection id="2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3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7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8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9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0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1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2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3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4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5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6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7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8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19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0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1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2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3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4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5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6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27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28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29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0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1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2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3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4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5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6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37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38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39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0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1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2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43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44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45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46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47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48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49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0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1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2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53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54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55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56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57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58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59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0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1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2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63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64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5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6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7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8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69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0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1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2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73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4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5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76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7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8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79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0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1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2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83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4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5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86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87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88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89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0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1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2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93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94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95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96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97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98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99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0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1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2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03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04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05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06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07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08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09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0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1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2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13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14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15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16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17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18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19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0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1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2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23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24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25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26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27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28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29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0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1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2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33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34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35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36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37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38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39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0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1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2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43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44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45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<sst xmlns="http://schemas.openxmlformats.org/spreadsheetml/2006/main" count="201" uniqueCount="81">
  <si>
    <t>Notes</t>
  </si>
  <si>
    <t>Enabled</t>
  </si>
  <si>
    <t>Building Name</t>
  </si>
  <si>
    <t>Building Level</t>
  </si>
  <si>
    <t>Quality Level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</si>
  <si>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</si>
  <si>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</si>
  <si>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</si>
  <si>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</si>
  <si>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</si>
  <si>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</si>
  <si>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</si>
  <si>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</si>
  <si>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</si>
  <si>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</si>
  <si>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Company</t>
  </si>
  <si>
    <t>Map Structure</t>
  </si>
  <si>
    <t>Production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</si>
  <si>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</si>
  <si>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</si>
  <si>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</si>
  <si>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</si>
  <si>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</si>
  <si>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</si>
  <si>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</si>
  <si>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</si>
  <si>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</si>
  <si>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</si>
  <si>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</si>
  <si>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</si>
  <si>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</si>
  <si>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</si>
  <si>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</si>
  <si>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</si>
  <si>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</si>
  <si>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</si>
  <si>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</si>
  <si>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</si>
  <si>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</si>
  <si>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</si>
  <si>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</si>
  <si>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</si>
  <si>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</si>
  <si>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</si>
  <si>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</si>
  <si>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</si>
  <si>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</si>
  <si>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</si>
  <si>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</si>
  <si>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</si>
  <si>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</si>
  <si>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</si>
  <si>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</si>
  <si>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</si>
  <si>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</si>
  <si>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</si>
  <si>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</si>
  <si>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</si>
  <si>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</si>
  <si>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</si>
  <si>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</si>
  <si>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</si>
  <si>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</si>
  <si>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</si>
  <si>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</si>
  <si>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</si>
  <si>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</si>
  <si>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</si>
  <si>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</si>
  <si>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</si>
  <si>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</si>
  <si>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</si>
  <si>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</si>
  <si>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</si>
  <si>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</si>
  <si>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</si>
  <si>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</si>
  <si>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Channel Name</t>
  </si>
  <si>
    <t>Allocation Fraction</t>
  </si>
  <si>
    <t>Allocation Units Per Day</t>
  </si>
  <si>
    <t>Exchange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</si>
</sst>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3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</cellXfs>
  <cellStyles count="1">
    <cellStyle name="Normal" xfId="0" builtinId="0"/>
  </cellStyles>
  <dxfs count="19"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18"/>
      <tableStyleElement type="headerRow" dxfId="17"/>
    </tableStyle>
    <tableStyle name="Output Table" pivot="0" count="2" xr9:uid="{2E3CF32D-1805-447A-A85C-8F12D0D17A75}">
      <tableStyleElement type="wholeTable" dxfId="16"/>
      <tableStyleElement type="headerRow" dxfId="15"/>
    </tableStyle>
    <tableStyle name="Ref Table" pivot="0" count="2" xr9:uid="{A770A715-E574-4C04-A545-B413EE13707B}">
      <tableStyleElement type="wholeTable" dxfId="14"/>
      <tableStyleElement type="headerRow" dxfId="13"/>
    </tableStyle>
    <tableStyle name="Reference Material" pivot="0" count="2" xr9:uid="{4A411DC6-D102-4668-BF54-FAE72CB502D1}">
      <tableStyleElement type="wholeTable" dxfId="12"/>
      <tableStyleElement type="headerRow" dxfId="11"/>
    </tableStyle>
    <tableStyle name="Sys Tables" pivot="0" count="2" xr9:uid="{096D3C65-410C-4E50-A003-D708D0B3FEC5}">
      <tableStyleElement type="wholeTable" dxfId="10"/>
      <tableStyleElement type="headerRow" dxfId="9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23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Relationship Id="rId22" Type="http://schemas.openxmlformats.org/officeDocument/2006/relationships/customXml" Target="../customXml/item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3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5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4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1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6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8"/>
    <tableColumn id="8" xr3:uid="{13346E22-A822-4DDB-AC42-5BDDA0D7C140}" name="Sales Speed %" dataDxfId="7"/>
    <tableColumn id="9" xr3:uid="{DC6CD4C4-F52F-4006-8272-45075FEB3A09}" name="Enabled" dataDxfId="6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5"/>
    <tableColumn id="6" xr3:uid="{5AD26A78-376B-45F9-AD3F-E0EA1CFDD1E0}" name="Enabled" dataDxfId="4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3"/>
    <tableColumn id="6" xr3:uid="{D362487B-B768-4C2A-A7E9-5E4BB89B6DB8}" name="Enabled" dataDxfId="2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7" totalsRowShown="0">
  <autoFilter ref="A169:D187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1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D198" totalsRowShown="0">
  <autoFilter ref="A197:D198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0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G114" totalsRowShown="0">
  <autoFilter ref="A95:G114" xr:uid="{6BC4ADCD-8870-4C36-B211-88BF14F185A8}"/>
  <tableColumns count="7">
    <tableColumn id="1" xr3:uid="{FB1E6A9C-5262-49F1-B914-6BB43EFCB6CA}" name="Company Key"/>
    <tableColumn id="2" xr3:uid="{6228E2FE-9DFE-45D5-8340-7D9B27296377}" name="Product Name"/>
    <tableColumn id="3" xr3:uid="{50A625D4-8B76-4102-9345-ADAE60312C9B}" name="Quality Level"/>
    <tableColumn id="9" xr3:uid="{DC29037E-3A6D-4EC8-8D61-E545252E8A5B}" name="Priority"/>
    <tableColumn id="8" xr3:uid="{304DD206-7414-4AE8-B589-BA1ECF81120C}" name="Channel Name"/>
    <tableColumn id="4" xr3:uid="{8DA8B1B3-0C49-4BD2-9CBD-41143D13C832}" name="Allocation Units Per Day"/>
    <tableColumn id="5" xr3:uid="{85049B14-F17F-4A79-B2EE-3858AEBA21B5}" name="Allocation Fraction"/>
  </tableColumns>
  <tableStyleInfo name="In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8"/>
  <sheetViews>
    <sheetView showGridLines="0" tabSelected="1" topLeftCell="A61" workbookViewId="0">
      <selection activeCell="E83" sqref="E83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0.625" customWidth="1"/>
    <col min="6" max="6" width="24.75" bestFit="1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15</v>
      </c>
      <c r="B5" s="1"/>
      <c r="C5" s="1"/>
    </row>
    <row r="6" spans="1:9" x14ac:dyDescent="0.3">
      <c r="A6" t="s">
        <v>5</v>
      </c>
      <c r="B6" t="s">
        <v>6</v>
      </c>
      <c r="C6" t="s">
        <v>50</v>
      </c>
      <c r="D6" t="s">
        <v>7</v>
      </c>
      <c r="E6" t="s">
        <v>8</v>
      </c>
      <c r="F6" t="s">
        <v>9</v>
      </c>
      <c r="G6" t="s">
        <v>10</v>
      </c>
      <c r="H6" t="s">
        <v>1</v>
      </c>
      <c r="I6" t="s">
        <v>0</v>
      </c>
    </row>
    <row r="7" spans="1:9" x14ac:dyDescent="0.3">
      <c r="A7">
        <v>1</v>
      </c>
      <c r="B7" t="s">
        <v>21</v>
      </c>
      <c r="C7" t="s">
        <v>22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21</v>
      </c>
      <c r="C8" t="s">
        <v>23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16</v>
      </c>
      <c r="B19" s="1"/>
      <c r="C19" s="1"/>
    </row>
    <row r="20" spans="1:7" x14ac:dyDescent="0.3">
      <c r="A20" t="s">
        <v>5</v>
      </c>
      <c r="B20" t="s">
        <v>11</v>
      </c>
      <c r="C20" t="s">
        <v>2</v>
      </c>
      <c r="D20" t="s">
        <v>3</v>
      </c>
      <c r="E20" t="s">
        <v>12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24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24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24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24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25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26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26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27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27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28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28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28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28</v>
      </c>
      <c r="D33">
        <v>2</v>
      </c>
      <c r="E33" s="3" t="b">
        <v>0</v>
      </c>
      <c r="F33" s="3" t="b">
        <v>0</v>
      </c>
      <c r="G33" t="s">
        <v>29</v>
      </c>
    </row>
    <row r="34" spans="1:7" x14ac:dyDescent="0.3">
      <c r="A34">
        <v>2</v>
      </c>
      <c r="B34">
        <v>1</v>
      </c>
      <c r="C34" t="s">
        <v>24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25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30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31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32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33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33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33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33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33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17</v>
      </c>
      <c r="B60" s="1"/>
      <c r="C60" s="1"/>
    </row>
    <row r="61" spans="1:7" x14ac:dyDescent="0.3">
      <c r="A61" t="s">
        <v>5</v>
      </c>
      <c r="B61" t="s">
        <v>11</v>
      </c>
      <c r="C61" t="s">
        <v>49</v>
      </c>
      <c r="D61" t="s">
        <v>4</v>
      </c>
      <c r="E61" t="s">
        <v>13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34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34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34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34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35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7" t="s">
        <v>47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7" t="s">
        <v>47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36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51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37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38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37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39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40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40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34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35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41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43</v>
      </c>
      <c r="D80">
        <v>0</v>
      </c>
      <c r="E80" s="5">
        <v>0.1</v>
      </c>
      <c r="F80" s="3" t="b">
        <v>1</v>
      </c>
    </row>
    <row r="81" spans="1:7" x14ac:dyDescent="0.3">
      <c r="A81">
        <v>2</v>
      </c>
      <c r="B81">
        <v>3</v>
      </c>
      <c r="C81" t="s">
        <v>44</v>
      </c>
      <c r="D81">
        <v>0</v>
      </c>
      <c r="E81" s="5">
        <v>0.8</v>
      </c>
      <c r="F81" s="3" t="b">
        <v>1</v>
      </c>
    </row>
    <row r="82" spans="1:7" x14ac:dyDescent="0.3">
      <c r="A82">
        <v>2</v>
      </c>
      <c r="B82">
        <v>4</v>
      </c>
      <c r="C82" t="s">
        <v>42</v>
      </c>
      <c r="D82">
        <v>0</v>
      </c>
      <c r="E82" s="5">
        <v>1</v>
      </c>
      <c r="F82" s="3" t="b">
        <v>1</v>
      </c>
    </row>
    <row r="83" spans="1:7" x14ac:dyDescent="0.3">
      <c r="A83">
        <v>2</v>
      </c>
      <c r="B83">
        <v>5</v>
      </c>
      <c r="C83" t="s">
        <v>45</v>
      </c>
      <c r="D83">
        <v>0</v>
      </c>
      <c r="E83" s="5">
        <v>1</v>
      </c>
      <c r="F83" s="3" t="b">
        <v>1</v>
      </c>
    </row>
    <row r="94" spans="1:7" x14ac:dyDescent="0.3">
      <c r="A94" s="2" t="s">
        <v>76</v>
      </c>
      <c r="B94" s="1"/>
      <c r="C94" s="1"/>
    </row>
    <row r="95" spans="1:7" x14ac:dyDescent="0.3">
      <c r="A95" t="s">
        <v>5</v>
      </c>
      <c r="B95" t="s">
        <v>49</v>
      </c>
      <c r="C95" t="s">
        <v>4</v>
      </c>
      <c r="D95" t="s">
        <v>14</v>
      </c>
      <c r="E95" t="s">
        <v>77</v>
      </c>
      <c r="F95" t="s">
        <v>79</v>
      </c>
      <c r="G95" t="s">
        <v>78</v>
      </c>
    </row>
    <row r="96" spans="1:7" x14ac:dyDescent="0.3">
      <c r="A96">
        <v>1</v>
      </c>
      <c r="B96" t="s">
        <v>34</v>
      </c>
      <c r="C96">
        <v>2</v>
      </c>
      <c r="D96">
        <v>1</v>
      </c>
      <c r="E96" t="s">
        <v>46</v>
      </c>
      <c r="F96">
        <v>500000</v>
      </c>
    </row>
    <row r="97" spans="1:7" x14ac:dyDescent="0.3">
      <c r="A97">
        <v>1</v>
      </c>
      <c r="B97" t="s">
        <v>34</v>
      </c>
      <c r="C97">
        <v>2</v>
      </c>
      <c r="D97">
        <v>2</v>
      </c>
      <c r="E97" t="s">
        <v>80</v>
      </c>
      <c r="G97">
        <v>1</v>
      </c>
    </row>
    <row r="98" spans="1:7" x14ac:dyDescent="0.3">
      <c r="A98">
        <v>1</v>
      </c>
      <c r="B98" t="s">
        <v>35</v>
      </c>
      <c r="C98">
        <v>2</v>
      </c>
      <c r="D98">
        <v>1</v>
      </c>
      <c r="E98" t="s">
        <v>46</v>
      </c>
      <c r="G98">
        <v>1</v>
      </c>
    </row>
    <row r="99" spans="1:7" x14ac:dyDescent="0.3">
      <c r="A99">
        <v>1</v>
      </c>
      <c r="B99" t="s">
        <v>52</v>
      </c>
      <c r="C99">
        <v>2</v>
      </c>
      <c r="D99">
        <v>1</v>
      </c>
      <c r="E99" t="s">
        <v>46</v>
      </c>
      <c r="G99">
        <v>1</v>
      </c>
    </row>
    <row r="100" spans="1:7" x14ac:dyDescent="0.3">
      <c r="A100">
        <v>1</v>
      </c>
      <c r="B100" t="s">
        <v>38</v>
      </c>
      <c r="C100">
        <v>2</v>
      </c>
      <c r="D100">
        <v>1</v>
      </c>
      <c r="E100" t="s">
        <v>46</v>
      </c>
      <c r="G100">
        <v>1</v>
      </c>
    </row>
    <row r="101" spans="1:7" x14ac:dyDescent="0.3">
      <c r="A101">
        <v>1</v>
      </c>
      <c r="B101" t="s">
        <v>40</v>
      </c>
      <c r="C101">
        <v>2</v>
      </c>
      <c r="D101">
        <v>1</v>
      </c>
      <c r="E101" t="s">
        <v>46</v>
      </c>
      <c r="G101">
        <v>1</v>
      </c>
    </row>
    <row r="102" spans="1:7" x14ac:dyDescent="0.3">
      <c r="A102">
        <v>1</v>
      </c>
      <c r="B102" t="s">
        <v>37</v>
      </c>
      <c r="C102">
        <v>2</v>
      </c>
      <c r="D102">
        <v>1</v>
      </c>
      <c r="E102" t="s">
        <v>46</v>
      </c>
      <c r="G102">
        <v>1</v>
      </c>
    </row>
    <row r="103" spans="1:7" x14ac:dyDescent="0.3">
      <c r="A103">
        <v>1</v>
      </c>
      <c r="B103" t="s">
        <v>39</v>
      </c>
      <c r="C103">
        <v>2</v>
      </c>
      <c r="D103">
        <v>1</v>
      </c>
      <c r="E103" t="s">
        <v>46</v>
      </c>
      <c r="G103">
        <v>1</v>
      </c>
    </row>
    <row r="104" spans="1:7" x14ac:dyDescent="0.3">
      <c r="A104">
        <v>1</v>
      </c>
      <c r="B104" t="s">
        <v>51</v>
      </c>
      <c r="C104">
        <v>2</v>
      </c>
      <c r="D104">
        <v>1</v>
      </c>
      <c r="E104" t="s">
        <v>46</v>
      </c>
      <c r="G104">
        <v>1</v>
      </c>
    </row>
    <row r="105" spans="1:7" x14ac:dyDescent="0.3">
      <c r="A105">
        <v>1</v>
      </c>
      <c r="B105" t="s">
        <v>36</v>
      </c>
      <c r="C105">
        <v>2</v>
      </c>
      <c r="D105">
        <v>1</v>
      </c>
      <c r="E105" t="s">
        <v>46</v>
      </c>
      <c r="G105">
        <v>1</v>
      </c>
    </row>
    <row r="106" spans="1:7" x14ac:dyDescent="0.3">
      <c r="A106">
        <v>1</v>
      </c>
      <c r="B106" t="s">
        <v>47</v>
      </c>
      <c r="C106">
        <v>2</v>
      </c>
      <c r="D106">
        <v>1</v>
      </c>
      <c r="E106" t="s">
        <v>46</v>
      </c>
      <c r="G106">
        <v>1</v>
      </c>
    </row>
    <row r="107" spans="1:7" x14ac:dyDescent="0.3">
      <c r="A107">
        <v>2</v>
      </c>
      <c r="B107" t="s">
        <v>34</v>
      </c>
      <c r="C107">
        <v>0</v>
      </c>
      <c r="D107">
        <v>1</v>
      </c>
      <c r="E107" t="s">
        <v>46</v>
      </c>
      <c r="G107">
        <v>1</v>
      </c>
    </row>
    <row r="108" spans="1:7" x14ac:dyDescent="0.3">
      <c r="A108">
        <v>2</v>
      </c>
      <c r="B108" t="s">
        <v>35</v>
      </c>
      <c r="C108">
        <v>0</v>
      </c>
      <c r="D108">
        <v>1</v>
      </c>
      <c r="E108" t="s">
        <v>46</v>
      </c>
      <c r="G108">
        <v>1</v>
      </c>
    </row>
    <row r="109" spans="1:7" x14ac:dyDescent="0.3">
      <c r="A109">
        <v>2</v>
      </c>
      <c r="B109" t="s">
        <v>41</v>
      </c>
      <c r="C109">
        <v>0</v>
      </c>
      <c r="D109">
        <v>1</v>
      </c>
      <c r="E109" t="s">
        <v>46</v>
      </c>
      <c r="G109">
        <v>1</v>
      </c>
    </row>
    <row r="110" spans="1:7" x14ac:dyDescent="0.3">
      <c r="A110">
        <v>2</v>
      </c>
      <c r="B110" t="s">
        <v>43</v>
      </c>
      <c r="C110">
        <v>0</v>
      </c>
      <c r="D110">
        <v>1</v>
      </c>
      <c r="E110" t="s">
        <v>46</v>
      </c>
      <c r="G110">
        <v>1</v>
      </c>
    </row>
    <row r="111" spans="1:7" x14ac:dyDescent="0.3">
      <c r="A111">
        <v>2</v>
      </c>
      <c r="B111" t="s">
        <v>44</v>
      </c>
      <c r="C111">
        <v>0</v>
      </c>
      <c r="D111">
        <v>1</v>
      </c>
      <c r="E111" t="s">
        <v>46</v>
      </c>
      <c r="G111">
        <v>1</v>
      </c>
    </row>
    <row r="112" spans="1:7" x14ac:dyDescent="0.3">
      <c r="A112">
        <v>2</v>
      </c>
      <c r="B112" t="s">
        <v>42</v>
      </c>
      <c r="C112">
        <v>0</v>
      </c>
      <c r="D112">
        <v>1</v>
      </c>
      <c r="E112" t="s">
        <v>46</v>
      </c>
      <c r="G112">
        <v>1</v>
      </c>
    </row>
    <row r="113" spans="1:7" x14ac:dyDescent="0.3">
      <c r="A113">
        <v>2</v>
      </c>
      <c r="B113" t="s">
        <v>45</v>
      </c>
      <c r="C113">
        <v>0</v>
      </c>
      <c r="D113">
        <v>1</v>
      </c>
      <c r="E113" t="s">
        <v>48</v>
      </c>
      <c r="G113">
        <v>1</v>
      </c>
    </row>
    <row r="114" spans="1:7" x14ac:dyDescent="0.3">
      <c r="A114">
        <v>2</v>
      </c>
      <c r="B114" t="s">
        <v>45</v>
      </c>
      <c r="C114">
        <v>0</v>
      </c>
      <c r="D114">
        <v>2</v>
      </c>
      <c r="E114" t="s">
        <v>46</v>
      </c>
      <c r="G114">
        <v>1</v>
      </c>
    </row>
    <row r="135" spans="1:3" x14ac:dyDescent="0.3">
      <c r="A135" s="2"/>
      <c r="B135" s="1"/>
      <c r="C135" s="1"/>
    </row>
    <row r="168" spans="1:4" x14ac:dyDescent="0.3">
      <c r="A168" s="2" t="s">
        <v>18</v>
      </c>
      <c r="B168" s="1"/>
      <c r="C168" s="1"/>
    </row>
    <row r="169" spans="1:4" x14ac:dyDescent="0.3">
      <c r="A169" t="s">
        <v>50</v>
      </c>
      <c r="B169" t="s">
        <v>49</v>
      </c>
      <c r="C169" t="s">
        <v>4</v>
      </c>
      <c r="D169" t="s">
        <v>19</v>
      </c>
    </row>
    <row r="170" spans="1:4" x14ac:dyDescent="0.3">
      <c r="A170" t="s">
        <v>22</v>
      </c>
      <c r="B170" t="s">
        <v>34</v>
      </c>
      <c r="C170">
        <v>2</v>
      </c>
      <c r="D170" s="6">
        <v>0.26</v>
      </c>
    </row>
    <row r="171" spans="1:4" x14ac:dyDescent="0.3">
      <c r="A171" t="s">
        <v>22</v>
      </c>
      <c r="B171" t="s">
        <v>35</v>
      </c>
      <c r="C171">
        <v>2</v>
      </c>
      <c r="D171" s="6">
        <v>0.38</v>
      </c>
    </row>
    <row r="172" spans="1:4" x14ac:dyDescent="0.3">
      <c r="A172" t="s">
        <v>22</v>
      </c>
      <c r="B172" t="s">
        <v>39</v>
      </c>
      <c r="C172">
        <v>2</v>
      </c>
      <c r="D172" s="6">
        <v>31.25</v>
      </c>
    </row>
    <row r="173" spans="1:4" x14ac:dyDescent="0.3">
      <c r="A173" t="s">
        <v>22</v>
      </c>
      <c r="B173" t="s">
        <v>51</v>
      </c>
      <c r="C173">
        <v>2</v>
      </c>
      <c r="D173" s="6">
        <v>6500</v>
      </c>
    </row>
    <row r="174" spans="1:4" x14ac:dyDescent="0.3">
      <c r="A174" t="s">
        <v>22</v>
      </c>
      <c r="B174" t="s">
        <v>40</v>
      </c>
      <c r="C174">
        <v>2</v>
      </c>
      <c r="D174" s="6">
        <v>11</v>
      </c>
    </row>
    <row r="175" spans="1:4" x14ac:dyDescent="0.3">
      <c r="A175" t="s">
        <v>22</v>
      </c>
      <c r="B175" t="s">
        <v>37</v>
      </c>
      <c r="C175">
        <v>2</v>
      </c>
      <c r="D175" s="6">
        <v>14.5</v>
      </c>
    </row>
    <row r="176" spans="1:4" x14ac:dyDescent="0.3">
      <c r="A176" t="s">
        <v>22</v>
      </c>
      <c r="B176" t="s">
        <v>52</v>
      </c>
      <c r="C176">
        <v>2</v>
      </c>
      <c r="D176" s="6">
        <v>1.33</v>
      </c>
    </row>
    <row r="177" spans="1:4" x14ac:dyDescent="0.3">
      <c r="A177" t="s">
        <v>22</v>
      </c>
      <c r="B177" t="s">
        <v>38</v>
      </c>
      <c r="C177">
        <v>2</v>
      </c>
      <c r="D177" s="6">
        <v>8.4</v>
      </c>
    </row>
    <row r="178" spans="1:4" x14ac:dyDescent="0.3">
      <c r="A178" t="s">
        <v>22</v>
      </c>
      <c r="B178" t="s">
        <v>36</v>
      </c>
      <c r="C178">
        <v>2</v>
      </c>
      <c r="D178" s="6">
        <v>87.5</v>
      </c>
    </row>
    <row r="179" spans="1:4" x14ac:dyDescent="0.3">
      <c r="A179" t="s">
        <v>22</v>
      </c>
      <c r="B179" t="s">
        <v>47</v>
      </c>
      <c r="C179">
        <v>2</v>
      </c>
      <c r="D179" s="6">
        <v>895</v>
      </c>
    </row>
    <row r="180" spans="1:4" x14ac:dyDescent="0.3">
      <c r="A180" t="s">
        <v>23</v>
      </c>
      <c r="B180" t="s">
        <v>34</v>
      </c>
      <c r="C180">
        <v>0</v>
      </c>
      <c r="D180" s="6">
        <v>0.24</v>
      </c>
    </row>
    <row r="181" spans="1:4" x14ac:dyDescent="0.3">
      <c r="A181" t="s">
        <v>23</v>
      </c>
      <c r="B181" t="s">
        <v>35</v>
      </c>
      <c r="C181">
        <v>0</v>
      </c>
      <c r="D181" s="6">
        <v>0.34</v>
      </c>
    </row>
    <row r="182" spans="1:4" x14ac:dyDescent="0.3">
      <c r="A182" t="s">
        <v>23</v>
      </c>
      <c r="B182" t="s">
        <v>41</v>
      </c>
      <c r="C182">
        <v>0</v>
      </c>
      <c r="D182" s="6">
        <v>0.23899999999999999</v>
      </c>
    </row>
    <row r="183" spans="1:4" x14ac:dyDescent="0.3">
      <c r="A183" t="s">
        <v>23</v>
      </c>
      <c r="B183" t="s">
        <v>43</v>
      </c>
      <c r="C183">
        <v>0</v>
      </c>
      <c r="D183" s="6">
        <v>1.57</v>
      </c>
    </row>
    <row r="184" spans="1:4" x14ac:dyDescent="0.3">
      <c r="A184" t="s">
        <v>23</v>
      </c>
      <c r="B184" t="s">
        <v>44</v>
      </c>
      <c r="C184">
        <v>0</v>
      </c>
      <c r="D184" s="6">
        <v>2.2999999999999998</v>
      </c>
    </row>
    <row r="185" spans="1:4" x14ac:dyDescent="0.3">
      <c r="A185" t="s">
        <v>23</v>
      </c>
      <c r="B185" t="s">
        <v>42</v>
      </c>
      <c r="C185">
        <v>0</v>
      </c>
      <c r="D185" s="6">
        <v>19.2</v>
      </c>
    </row>
    <row r="186" spans="1:4" x14ac:dyDescent="0.3">
      <c r="A186" t="s">
        <v>23</v>
      </c>
      <c r="B186" t="s">
        <v>45</v>
      </c>
      <c r="C186">
        <v>0</v>
      </c>
      <c r="D186" s="6">
        <v>34</v>
      </c>
    </row>
    <row r="187" spans="1:4" x14ac:dyDescent="0.3">
      <c r="A187" t="s">
        <v>23</v>
      </c>
      <c r="B187" t="s">
        <v>63</v>
      </c>
      <c r="C187">
        <v>0</v>
      </c>
      <c r="D187" s="6">
        <v>0.35399999999999998</v>
      </c>
    </row>
    <row r="188" spans="1:4" x14ac:dyDescent="0.3">
      <c r="D188" s="6"/>
    </row>
    <row r="189" spans="1:4" x14ac:dyDescent="0.3">
      <c r="D189" s="6"/>
    </row>
    <row r="190" spans="1:4" x14ac:dyDescent="0.3">
      <c r="D190" s="6"/>
    </row>
    <row r="191" spans="1:4" x14ac:dyDescent="0.3">
      <c r="D191" s="6"/>
    </row>
    <row r="192" spans="1:4" x14ac:dyDescent="0.3">
      <c r="D192" s="6"/>
    </row>
    <row r="193" spans="1:4" x14ac:dyDescent="0.3">
      <c r="D193" s="6"/>
    </row>
    <row r="196" spans="1:4" x14ac:dyDescent="0.3">
      <c r="A196" s="2" t="s">
        <v>20</v>
      </c>
      <c r="B196" s="1"/>
      <c r="C196" s="1"/>
    </row>
    <row r="197" spans="1:4" x14ac:dyDescent="0.3">
      <c r="A197" t="s">
        <v>50</v>
      </c>
      <c r="B197" t="s">
        <v>49</v>
      </c>
      <c r="C197" t="s">
        <v>4</v>
      </c>
      <c r="D197" t="s">
        <v>19</v>
      </c>
    </row>
    <row r="198" spans="1:4" x14ac:dyDescent="0.3">
      <c r="A198" t="s">
        <v>23</v>
      </c>
      <c r="B198" t="s">
        <v>45</v>
      </c>
      <c r="C198">
        <v>0</v>
      </c>
      <c r="D198" s="6">
        <v>59.38</v>
      </c>
    </row>
  </sheetData>
  <phoneticPr fontId="2" type="noConversion"/>
  <dataValidations count="9">
    <dataValidation type="whole" operator="greaterThan" allowBlank="1" showInputMessage="1" showErrorMessage="1" prompt="Positive Integer" sqref="A7:A8 D7:D8 D21:D43" xr:uid="{99DA1997-5977-4E70-8A4D-DD9EC087DDFF}">
      <formula1>0</formula1>
    </dataValidation>
    <dataValidation type="decimal" allowBlank="1" showInputMessage="1" showErrorMessage="1" prompt="Percentage greater than 0" sqref="E62:E8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8 C170:C193 D62:D83 C98:D114 C96:D96" xr:uid="{8A7F0B46-EC6F-4348-9CD0-1A4A6AB9B057}">
      <formula1>0</formula1>
    </dataValidation>
    <dataValidation type="decimal" allowBlank="1" showInputMessage="1" showErrorMessage="1" prompt="Fraction between 0 and 1" sqref="G96:G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F96:F114" xr:uid="{699F147C-A98A-4CDA-BC05-72AD964C4511}">
      <formula1>0</formula1>
    </dataValidation>
    <dataValidation operator="greaterThanOrEqual" allowBlank="1" showErrorMessage="1" sqref="E96 E98:E114" xr:uid="{5C010170-0364-478E-8903-FBBE33DE358F}"/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58</v>
      </c>
      <c r="B3" t="s">
        <v>59</v>
      </c>
      <c r="C3" t="s">
        <v>60</v>
      </c>
      <c r="D3" t="s">
        <v>61</v>
      </c>
      <c r="E3" t="s">
        <v>73</v>
      </c>
      <c r="F3" t="s">
        <v>74</v>
      </c>
      <c r="G3" t="s">
        <v>62</v>
      </c>
      <c r="H3" t="s">
        <v>75</v>
      </c>
      <c r="I3" t="s">
        <v>72</v>
      </c>
      <c r="Q3" t="s">
        <v>64</v>
      </c>
      <c r="R3" t="s">
        <v>65</v>
      </c>
      <c r="S3" t="s">
        <v>71</v>
      </c>
      <c r="T3" t="s">
        <v>66</v>
      </c>
      <c r="U3" t="s">
        <v>67</v>
      </c>
      <c r="V3" t="s">
        <v>68</v>
      </c>
      <c r="W3" t="s">
        <v>69</v>
      </c>
      <c r="X3" t="s">
        <v>70</v>
      </c>
    </row>
    <row r="4" spans="1:24" x14ac:dyDescent="0.3">
      <c r="A4" t="s">
        <v>34</v>
      </c>
      <c r="B4">
        <v>2</v>
      </c>
      <c r="C4">
        <v>48130.21</v>
      </c>
      <c r="D4">
        <f>0.15*C4</f>
        <v>7219.5315000000001</v>
      </c>
      <c r="E4">
        <f>Inputs!D170*C4*0.96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35</v>
      </c>
      <c r="B5">
        <v>2</v>
      </c>
      <c r="C5">
        <v>1694.2</v>
      </c>
      <c r="D5">
        <f>C5*0.2</f>
        <v>338.84000000000003</v>
      </c>
      <c r="E5">
        <f>Inputs!D171*C5*0.96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39</v>
      </c>
      <c r="B6">
        <v>2</v>
      </c>
      <c r="C6">
        <v>104.09</v>
      </c>
      <c r="D6">
        <f>5.3*C6</f>
        <v>551.67700000000002</v>
      </c>
      <c r="E6">
        <f>Inputs!D172*C6*0.96-Inputs!D187*10*Output!C6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40</v>
      </c>
      <c r="B7">
        <v>2</v>
      </c>
      <c r="C7">
        <v>437.19</v>
      </c>
      <c r="D7">
        <f>2.53*C7</f>
        <v>1106.0907</v>
      </c>
      <c r="E7">
        <f>Inputs!D174*C7*0.96-Inputs!D187*C7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38</v>
      </c>
      <c r="B8">
        <v>2</v>
      </c>
      <c r="C8">
        <f>320.87/3</f>
        <v>106.95666666666666</v>
      </c>
      <c r="D8">
        <f>2.58*C8</f>
        <v>275.94819999999999</v>
      </c>
      <c r="E8">
        <f>Inputs!D177*C8*0.96-Inputs!D187*C8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37</v>
      </c>
      <c r="B9">
        <v>2</v>
      </c>
      <c r="C9">
        <f>445.65/3</f>
        <v>148.54999999999998</v>
      </c>
      <c r="D9">
        <f>1.86*C9</f>
        <v>276.303</v>
      </c>
      <c r="E9">
        <f>Inputs!D175*C9*0.96-C9*Inputs!D187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51</v>
      </c>
      <c r="B10">
        <v>2</v>
      </c>
      <c r="C10">
        <f>124.78</f>
        <v>124.78</v>
      </c>
      <c r="D10">
        <f>13.27*C10</f>
        <v>1655.8306</v>
      </c>
      <c r="E10">
        <f>Inputs!D173*C10*0.96-1000*C10*Inputs!D187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47</v>
      </c>
      <c r="B11">
        <v>2</v>
      </c>
      <c r="C11">
        <v>3.83</v>
      </c>
      <c r="D11">
        <f>C11*198.35</f>
        <v>759.68049999999994</v>
      </c>
      <c r="E11">
        <f>Inputs!D179*C11*0.96-Inputs!D187*C11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>
      <selection activeCell="K11" sqref="K11"/>
    </sheetView>
  </sheetViews>
  <sheetFormatPr defaultRowHeight="16.5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2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3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4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5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Inputs</vt:lpstr>
      <vt:lpstr>Output</vt:lpstr>
      <vt:lpstr>Help</vt:lpstr>
      <vt:lpstr>_ing_company</vt:lpstr>
      <vt:lpstr>_ing_map_structure</vt:lpstr>
      <vt:lpstr>_ing_override_retail_prices</vt:lpstr>
      <vt:lpstr>_ing_override_exchange_prices</vt:lpstr>
      <vt:lpstr>_ing_clearing_plan</vt:lpstr>
      <vt:lpstr>_ing_production_plan</vt:lpstr>
      <vt:lpstr>_ing_company!ExternalData_1</vt:lpstr>
      <vt:lpstr>_ing_map_structure!ExternalData_1</vt:lpstr>
      <vt:lpstr>_ing_production_plan!ExternalData_3</vt:lpstr>
      <vt:lpstr>_ing_clearing_plan!ExternalData_4</vt:lpstr>
      <vt:lpstr>_ing_override_exchange_prices!ExternalData_5</vt:lpstr>
      <vt:lpstr>_ing_override_retail_prices!ExternalData_6</vt:lpstr>
      <vt:lpstr>MapStructureList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2026-06-01T21:16:08Z</dcterms:modified>
  <cp:category/>
  <cp:contentStatus/>
</cp:coreProperties>
</file>