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7379643e22b0288/Documents/Sim Companies/simco-planner/template/"/>
    </mc:Choice>
  </mc:AlternateContent>
  <xr:revisionPtr revIDLastSave="1422" documentId="8_{372FFF71-BA85-4A67-B07D-9803677B54DF}" xr6:coauthVersionLast="47" xr6:coauthVersionMax="47" xr10:uidLastSave="{35A2B698-F2AF-47F9-8D80-BB67DC31D9E1}"/>
  <bookViews>
    <workbookView xWindow="-120" yWindow="-120" windowWidth="29040" windowHeight="15720" activeTab="1" xr2:uid="{005547BF-1833-45E8-9E6B-655A694EBD70}"/>
  </bookViews>
  <sheets>
    <sheet name="Paths" sheetId="150" r:id="rId1"/>
    <sheet name="Inputs" sheetId="132" r:id="rId2"/>
    <sheet name="Output" sheetId="133" r:id="rId3"/>
    <sheet name="_out_production_intent" sheetId="153" r:id="rId4"/>
    <sheet name="_out_product_bom_consumption" sheetId="154" r:id="rId5"/>
    <sheet name="_out_balance_plan" sheetId="152" r:id="rId6"/>
    <sheet name="_out_clearing_result" sheetId="155" r:id="rId7"/>
    <sheet name="out_allocation_summary" sheetId="151" r:id="rId8"/>
    <sheet name="Help" sheetId="141" r:id="rId9"/>
    <sheet name="_ing_company" sheetId="148" state="hidden" r:id="rId10"/>
    <sheet name="_ing_map_structure" sheetId="149" state="hidden" r:id="rId11"/>
    <sheet name="_ing_override_retail_prices" sheetId="147" state="hidden" r:id="rId12"/>
    <sheet name="_ing_override_exchange_prices" sheetId="146" state="hidden" r:id="rId13"/>
    <sheet name="_ing_clearing_plan" sheetId="145" state="hidden" r:id="rId14"/>
    <sheet name="_ing_production_plan" sheetId="144" state="hidden" r:id="rId15"/>
  </sheets>
  <definedNames>
    <definedName name="_xlpm.f" hidden="1" xlm="1">#NAME?</definedName>
    <definedName name="ExternalData_1" localSheetId="9">_ing_company!$A$1</definedName>
    <definedName name="ExternalData_1" localSheetId="10">_ing_map_structure!$A$1</definedName>
    <definedName name="ExternalData_1" localSheetId="7" hidden="1">out_allocation_summary!$A$1:$G$18</definedName>
    <definedName name="ExternalData_2" localSheetId="5" hidden="1">'_out_balance_plan'!$A$1:$H$18</definedName>
    <definedName name="ExternalData_3" localSheetId="14">_ing_production_plan!$A$1</definedName>
    <definedName name="ExternalData_3" localSheetId="3" hidden="1">'_out_production_intent'!$A$1:$D$17</definedName>
    <definedName name="ExternalData_4" localSheetId="13">_ing_clearing_plan!$A$1</definedName>
    <definedName name="ExternalData_4" localSheetId="4" hidden="1">'_out_product_bom_consumption'!$A$1:$D$15</definedName>
    <definedName name="ExternalData_5" localSheetId="12">_ing_override_exchange_prices!$A$1</definedName>
    <definedName name="ExternalData_5" localSheetId="6" hidden="1">'_out_clearing_result'!$A$1:$G$18</definedName>
    <definedName name="ExternalData_6" localSheetId="11">_ing_override_retail_prices!$A$1</definedName>
    <definedName name="InstallationRoot">Paths!$B$1</definedName>
    <definedName name="MapStructureList">tblMapStructure[Company Key]</definedName>
    <definedName name="OutputPath">Paths!$B$2</definedName>
    <definedName name="SalesPlan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133" l="1"/>
  <c r="X11" i="133"/>
  <c r="W11" i="133"/>
  <c r="V11" i="133"/>
  <c r="E11" i="133"/>
  <c r="D11" i="133"/>
  <c r="E7" i="133"/>
  <c r="E6" i="133"/>
  <c r="C10" i="133"/>
  <c r="E5" i="133"/>
  <c r="E4" i="133"/>
  <c r="C9" i="133"/>
  <c r="C8" i="133"/>
  <c r="R7" i="133"/>
  <c r="Q7" i="133"/>
  <c r="D7" i="133"/>
  <c r="R6" i="133"/>
  <c r="Q6" i="133"/>
  <c r="D6" i="133"/>
  <c r="Q5" i="133"/>
  <c r="D5" i="133"/>
  <c r="D4" i="133"/>
  <c r="G10" i="133" l="1"/>
  <c r="G8" i="133"/>
  <c r="G9" i="133"/>
  <c r="F11" i="133"/>
  <c r="G5" i="133"/>
  <c r="I5" i="133" s="1"/>
  <c r="U10" i="133"/>
  <c r="G6" i="133" s="1"/>
  <c r="I6" i="133" s="1"/>
  <c r="Q10" i="133"/>
  <c r="E9" i="133"/>
  <c r="F5" i="133"/>
  <c r="S8" i="133"/>
  <c r="D8" i="133"/>
  <c r="E8" i="133"/>
  <c r="E10" i="133"/>
  <c r="D10" i="133"/>
  <c r="T9" i="133"/>
  <c r="G7" i="133" s="1"/>
  <c r="I7" i="133" s="1"/>
  <c r="Q9" i="133"/>
  <c r="D9" i="133"/>
  <c r="Q8" i="133"/>
  <c r="F7" i="133"/>
  <c r="F6" i="133"/>
  <c r="F4" i="133"/>
  <c r="I10" i="133" l="1"/>
  <c r="I9" i="133"/>
  <c r="I8" i="133"/>
  <c r="G4" i="133"/>
  <c r="I4" i="133" s="1"/>
  <c r="F8" i="133"/>
  <c r="F10" i="133"/>
  <c r="F9" i="1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7B4CC6-5DD7-4D47-AA18-C06F2971ED7F}" keepAlive="1" name="Query - _ing_clearing_plan" description="Connection to the '_ing_clearing_plan' query in the workbook." type="5" refreshedVersion="0" background="1" saveData="1">
    <dbPr connection="Provider=Microsoft.Mashup.OleDb.1;Data Source=$Workbook$;Location=_ing_clearing_plan;Extended Properties=&quot;&quot;" command="SELECT * FROM [_ing_clearing_plan]"/>
  </connection>
  <connection id="2" xr16:uid="{47C32854-69EC-4B02-A8FE-8439A0115E08}" keepAlive="1" name="Query - _ing_company" description="Connection to the '_ing_company' query in the workbook." type="5" refreshedVersion="0" background="1" saveData="1">
    <dbPr connection="Provider=Microsoft.Mashup.OleDb.1;Data Source=$Workbook$;Location=_ing_company;Extended Properties=&quot;&quot;" command="SELECT * FROM [_ing_company]"/>
  </connection>
  <connection id="3" xr16:uid="{EE73C72F-6352-481A-85CB-F1B6DBBE178A}" keepAlive="1" name="Query - _ing_map_structure" description="Connection to the '_ing_map_structure' query in the workbook." type="5" refreshedVersion="0" background="1" saveData="1">
    <dbPr connection="Provider=Microsoft.Mashup.OleDb.1;Data Source=$Workbook$;Location=_ing_map_structure;Extended Properties=&quot;&quot;" command="SELECT * FROM [_ing_map_structure]"/>
  </connection>
  <connection id="4" xr16:uid="{435AE79C-3F96-4B76-900A-35D7E0F2994B}" keepAlive="1" name="Query - _ing_override_exchange_prices" description="Connection to the '_ing_override_exchange_prices' query in the workbook." type="5" refreshedVersion="0" background="1" saveData="1">
    <dbPr connection="Provider=Microsoft.Mashup.OleDb.1;Data Source=$Workbook$;Location=_ing_override_exchange_prices;Extended Properties=&quot;&quot;" command="SELECT * FROM [_ing_override_exchange_prices]"/>
  </connection>
  <connection id="5" xr16:uid="{D54D0768-017E-4378-BAC4-74F127437D6C}" keepAlive="1" name="Query - _ing_override_retail_prices" description="Connection to the '_ing_override_retail_prices' query in the workbook." type="5" refreshedVersion="0" background="1" saveData="1">
    <dbPr connection="Provider=Microsoft.Mashup.OleDb.1;Data Source=$Workbook$;Location=_ing_override_retail_prices;Extended Properties=&quot;&quot;" command="SELECT * FROM [_ing_override_retail_prices]"/>
  </connection>
  <connection id="6" xr16:uid="{66AAA9CD-B426-4C24-8D2D-4058EFF89CED}" keepAlive="1" name="Query - _ing_production_plan" description="Connection to the '_ing_production_plan' query in the workbook." type="5" refreshedVersion="0" background="1" saveData="1">
    <dbPr connection="Provider=Microsoft.Mashup.OleDb.1;Data Source=$Workbook$;Location=_ing_production_plan;Extended Properties=&quot;&quot;" command="SELECT * FROM [_ing_production_plan]"/>
  </connection>
  <connection id="7" xr16:uid="{17F76A69-2914-42EC-BB45-405DD236E292}" keepAlive="1" name="Query - _out_balance_plan" description="Connection to the '_out_balance_plan' query in the workbook." type="5" refreshedVersion="8" background="1" saveData="1">
    <dbPr connection="Provider=Microsoft.Mashup.OleDb.1;Data Source=$Workbook$;Location=_out_balance_plan;Extended Properties=&quot;&quot;" command="SELECT * FROM [_out_balance_plan]"/>
  </connection>
  <connection id="8" xr16:uid="{6853F0F0-69D2-43BA-A6E4-E3891B650A22}" keepAlive="1" name="Query - _out_balance_plan1" description="Connection to the '_out_balance_plan' query in the workbook." type="5" refreshedVersion="0" background="1">
    <dbPr connection="Provider=Microsoft.Mashup.OleDb.1;Data Source=$Workbook$;Location=_out_balance_plan;Extended Properties=&quot;&quot;" command="SELECT * FROM [_out_balance_plan]"/>
  </connection>
  <connection id="9" xr16:uid="{D1ABF0DA-28CA-4449-BFBB-43061A40B165}" keepAlive="1" name="Query - _out_clearing_result" description="Connection to the '_out_clearing_result' query in the workbook." type="5" refreshedVersion="8" background="1" saveData="1">
    <dbPr connection="Provider=Microsoft.Mashup.OleDb.1;Data Source=$Workbook$;Location=_out_clearing_result;Extended Properties=&quot;&quot;" command="SELECT * FROM [_out_clearing_result]"/>
  </connection>
  <connection id="10" xr16:uid="{4321F4C6-A7C6-402B-8567-73D3F235A05C}" keepAlive="1" name="Query - _out_clearing_result1" description="Connection to the '_out_clearing_result' query in the workbook." type="5" refreshedVersion="0" background="1">
    <dbPr connection="Provider=Microsoft.Mashup.OleDb.1;Data Source=$Workbook$;Location=_out_clearing_result;Extended Properties=&quot;&quot;" command="SELECT * FROM [_out_clearing_result]"/>
  </connection>
  <connection id="11" xr16:uid="{3CE5AB3D-F966-485A-BCD0-630450A67311}" keepAlive="1" name="Query - _out_product_bom_consumption" description="Connection to the '_out_product_bom_consumption' query in the workbook." type="5" refreshedVersion="8" background="1" saveData="1">
    <dbPr connection="Provider=Microsoft.Mashup.OleDb.1;Data Source=$Workbook$;Location=_out_product_bom_consumption;Extended Properties=&quot;&quot;" command="SELECT * FROM [_out_product_bom_consumption]"/>
  </connection>
  <connection id="12" xr16:uid="{EBFB1610-ACED-4317-A89E-D80C541A44E8}" keepAlive="1" name="Query - _out_product_bom_consumption1" description="Connection to the '_out_product_bom_consumption' query in the workbook." type="5" refreshedVersion="0" background="1">
    <dbPr connection="Provider=Microsoft.Mashup.OleDb.1;Data Source=$Workbook$;Location=_out_product_bom_consumption;Extended Properties=&quot;&quot;" command="SELECT * FROM [_out_product_bom_consumption]"/>
  </connection>
  <connection id="13" xr16:uid="{D915FB28-A022-4735-8046-C08FFB9A9820}" keepAlive="1" name="Query - _out_production_intent" description="Connection to the '_out_production_intent' query in the workbook." type="5" refreshedVersion="8" background="1" saveData="1">
    <dbPr connection="Provider=Microsoft.Mashup.OleDb.1;Data Source=$Workbook$;Location=_out_production_intent;Extended Properties=&quot;&quot;" command="SELECT * FROM [_out_production_intent]"/>
  </connection>
  <connection id="14" xr16:uid="{2E06C539-DDAB-42B9-8F78-44DECF49B56A}" keepAlive="1" name="Query - _out_production_intent1" description="Connection to the '_out_production_intent' query in the workbook." type="5" refreshedVersion="0" background="1">
    <dbPr connection="Provider=Microsoft.Mashup.OleDb.1;Data Source=$Workbook$;Location=_out_production_intent;Extended Properties=&quot;&quot;" command="SELECT * FROM [_out_production_intent]"/>
  </connection>
  <connection id="15" xr16:uid="{AAA0DE3E-619E-4E82-861E-59D8B7F39DB7}" keepAlive="1" name="Query - fxAddGroupSumColumn" description="Connection to the 'fxAddGroupSumColumn' query in the workbook." type="5" refreshedVersion="0" background="1">
    <dbPr connection="Provider=Microsoft.Mashup.OleDb.1;Data Source=$Workbook$;Location=fxAddGroupSumColumn;Extended Properties=&quot;&quot;" command="SELECT * FROM [fxAddGroupSumColumn]"/>
  </connection>
  <connection id="16" xr16:uid="{4602E650-7279-4BAB-8E86-1234EB581EF0}" keepAlive="1" name="Query - fxDecodeDailyAllocation" description="Connection to the 'fxDecodeDailyAllocation' query in the workbook." type="5" refreshedVersion="0" background="1">
    <dbPr connection="Provider=Microsoft.Mashup.OleDb.1;Data Source=$Workbook$;Location=fxDecodeDailyAllocation;Extended Properties=&quot;&quot;" command="SELECT * FROM [fxDecodeDailyAllocation]"/>
  </connection>
  <connection id="17" xr16:uid="{A05B6E5E-274B-47CD-A15D-77207F4F565A}" keepAlive="1" name="Query - fxDecodeFractionOrPercent" description="Connection to the 'fxDecodeFractionOrPercent' query in the workbook." type="5" refreshedVersion="0" background="1">
    <dbPr connection="Provider=Microsoft.Mashup.OleDb.1;Data Source=$Workbook$;Location=fxDecodeFractionOrPercent;Extended Properties=&quot;&quot;" command="SELECT * FROM [fxDecodeFractionOrPercent]"/>
  </connection>
  <connection id="18" xr16:uid="{38E5FE43-4345-4CDA-89F9-C8E887F8D481}" keepAlive="1" name="Query - fxGetFullOutputPath" description="Connection to the 'fxGetFullOutputPath' query in the workbook." type="5" refreshedVersion="0" background="1">
    <dbPr connection="Provider=Microsoft.Mashup.OleDb.1;Data Source=$Workbook$;Location=fxGetFullOutputPath;Extended Properties=&quot;&quot;" command="SELECT * FROM [fxGetFullOutputPath]"/>
  </connection>
  <connection id="19" xr16:uid="{4BF0229E-6A9D-4598-9626-EC39254F76E6}" keepAlive="1" name="Query - fxGetSysParameter" description="Connection to the 'fxGetSysParameter' query in the workbook." type="5" refreshedVersion="0" background="1">
    <dbPr connection="Provider=Microsoft.Mashup.OleDb.1;Data Source=$Workbook$;Location=fxGetSysParameter;Extended Properties=&quot;&quot;" command="SELECT * FROM [fxGetSysParameter]"/>
  </connection>
  <connection id="20" xr16:uid="{AA75B520-AEE6-4282-A432-0CEAEE8D22B2}" keepAlive="1" name="Query - fxGetTable" description="Connection to the 'fxGetTable' query in the workbook." type="5" refreshedVersion="0" background="1">
    <dbPr connection="Provider=Microsoft.Mashup.OleDb.1;Data Source=$Workbook$;Location=fxGetTable;Extended Properties=&quot;&quot;" command="SELECT * FROM [fxGetTable]"/>
  </connection>
  <connection id="21" xr16:uid="{1C491C01-F6E6-4ECE-A7C2-E5A89A6FECB9}" keepAlive="1" name="Query - fxGetTableClean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22" xr16:uid="{A69B6C42-B368-4A10-8B0A-A1B5BF849970}" keepAlive="1" name="Query - fxGetTableClean1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23" xr16:uid="{322EBAEA-2387-4449-90F5-7FC2306F0103}" keepAlive="1" name="Query - fxGetTableEnabled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24" xr16:uid="{953C4747-3DFB-4C54-A085-41A49D1715EF}" keepAlive="1" name="Query - fxGetTableEnabled1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25" xr16:uid="{11490519-73A2-47FD-B838-F7CE860E9121}" keepAlive="1" name="Query - fxGetTableLatestBySnapshot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6" xr16:uid="{27F1E3B8-DB2E-4145-9430-B718D99400D1}" keepAlive="1" name="Query - fxGetTableLatestBySnapshot1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7" xr16:uid="{60AFCC9D-7CA8-43E2-A72C-6E80701A8BA3}" keepAlive="1" name="Query - fxGetTableLatestSet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8" xr16:uid="{88A91A9E-166D-4261-A5EA-BAF1B63A8C3D}" keepAlive="1" name="Query - fxGetTableLatestSet1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9" xr16:uid="{4A5F661F-12C2-4E01-9D6F-5B0785EA1619}" keepAlive="1" name="Query - fxGetTableRaw" description="Connection to the 'fxGetTableRaw' query in the workbook." type="5" refreshedVersion="0" background="1">
    <dbPr connection="Provider=Microsoft.Mashup.OleDb.1;Data Source=$Workbook$;Location=fxGetTableRaw;Extended Properties=&quot;&quot;" command="SELECT * FROM [fxGetTableRaw]"/>
  </connection>
  <connection id="30" xr16:uid="{ADAA0C51-BBF2-4430-A3B1-14198B9FCBFE}" keepAlive="1" name="Query - fxGetTableSmart" description="Connection to the 'fxGetTableSmart' query in the workbook." type="5" refreshedVersion="0" background="1">
    <dbPr connection="Provider=Microsoft.Mashup.OleDb.1;Data Source=$Workbook$;Location=fxGetTableSmart;Extended Properties=&quot;&quot;" command="SELECT * FROM [fxGetTableSmart]"/>
  </connection>
  <connection id="31" xr16:uid="{F7C5BB45-15F0-4C9D-893B-96F7FE768F48}" keepAlive="1" name="Query - fxGroupAndAverage" description="Connection to the 'fxGroupAndAverage' query in the workbook." type="5" refreshedVersion="0" background="1">
    <dbPr connection="Provider=Microsoft.Mashup.OleDb.1;Data Source=$Workbook$;Location=fxGroupAndAverage;Extended Properties=&quot;&quot;" command="SELECT * FROM [fxGroupAndAverage]"/>
  </connection>
  <connection id="32" xr16:uid="{5A3E4658-1951-4253-9141-3D606AF93E5A}" keepAlive="1" name="Query - fxGroupAndCount" description="Connection to the 'fxGroupAndCount' query in the workbook." type="5" refreshedVersion="0" background="1">
    <dbPr connection="Provider=Microsoft.Mashup.OleDb.1;Data Source=$Workbook$;Location=fxGroupAndCount;Extended Properties=&quot;&quot;" command="SELECT * FROM [fxGroupAndCount]"/>
  </connection>
  <connection id="33" xr16:uid="{03261163-A767-4B05-AB34-6AFDCE0B3B54}" keepAlive="1" name="Query - fxGroupAndMax" description="Connection to the 'fxGroupAndMax' query in the workbook." type="5" refreshedVersion="0" background="1">
    <dbPr connection="Provider=Microsoft.Mashup.OleDb.1;Data Source=$Workbook$;Location=fxGroupAndMax;Extended Properties=&quot;&quot;" command="SELECT * FROM [fxGroupAndMax]"/>
  </connection>
  <connection id="34" xr16:uid="{0126A121-1288-4777-9AB4-9D1F4B9E7E35}" keepAlive="1" name="Query - fxGroupAndMin" description="Connection to the 'fxGroupAndMin' query in the workbook." type="5" refreshedVersion="0" background="1">
    <dbPr connection="Provider=Microsoft.Mashup.OleDb.1;Data Source=$Workbook$;Location=fxGroupAndMin;Extended Properties=&quot;&quot;" command="SELECT * FROM [fxGroupAndMin]"/>
  </connection>
  <connection id="35" xr16:uid="{F0F78A13-7233-4701-A508-8CAC800E1D11}" keepAlive="1" name="Query - fxGroupAndReduce" description="Connection to the 'fxGroupAndReduce' query in the workbook." type="5" refreshedVersion="0" background="1">
    <dbPr connection="Provider=Microsoft.Mashup.OleDb.1;Data Source=$Workbook$;Location=fxGroupAndReduce;Extended Properties=&quot;&quot;" command="SELECT * FROM [fxGroupAndReduce]"/>
  </connection>
  <connection id="36" xr16:uid="{F764FF45-2D46-4B9D-9170-9BCC2318B1A1}" keepAlive="1" name="Query - fxGroupAndSum" description="Connection to the 'fxGroupAndSum' query in the workbook." type="5" refreshedVersion="0" background="1">
    <dbPr connection="Provider=Microsoft.Mashup.OleDb.1;Data Source=$Workbook$;Location=fxGroupAndSum;Extended Properties=&quot;&quot;" command="SELECT * FROM [fxGroupAndSum]"/>
  </connection>
  <connection id="37" xr16:uid="{8210AC50-0693-4E51-8DDC-0C03FB34311D}" keepAlive="1" name="Query - fxLatestBy" description="Connection to the 'fxLatestBy' query in the workbook." type="5" refreshedVersion="0" background="1">
    <dbPr connection="Provider=Microsoft.Mashup.OleDb.1;Data Source=$Workbook$;Location=fxLatestBy;Extended Properties=&quot;&quot;" command="SELECT * FROM [fxLatestBy]"/>
  </connection>
  <connection id="38" xr16:uid="{6EE31EBE-9C96-4796-8740-87CED0C67A62}" keepAlive="1" name="Query - fxLoadOutputCsv" description="Connection to the 'fxLoadOutputCsv' query in the workbook." type="5" refreshedVersion="0" background="1">
    <dbPr connection="Provider=Microsoft.Mashup.OleDb.1;Data Source=$Workbook$;Location=fxLoadOutputCsv;Extended Properties=&quot;&quot;" command="SELECT * FROM [fxLoadOutputCsv]"/>
  </connection>
  <connection id="39" xr16:uid="{33848445-D3C6-4841-BBF6-28B99642C446}" keepAlive="1" name="Query - fxSignalEvaluate" description="Connection to the 'fxSignalEvaluate' query in the workbook." type="5" refreshedVersion="0" background="1">
    <dbPr connection="Provider=Microsoft.Mashup.OleDb.1;Data Source=$Workbook$;Location=fxSignalEvaluate;Extended Properties=&quot;&quot;" command="SELECT * FROM [fxSignalEvaluate]"/>
  </connection>
  <connection id="40" xr16:uid="{71A4032A-5653-43DC-A843-403E76F3E780}" keepAlive="1" name="Query - fxToLogical" description="Connection to the 'fxToLogical' query in the workbook." type="5" refreshedVersion="0" background="1">
    <dbPr connection="Provider=Microsoft.Mashup.OleDb.1;Data Source=$Workbook$;Location=fxToLogical;Extended Properties=&quot;&quot;" command="SELECT * FROM [fxToLogical]"/>
  </connection>
  <connection id="41" xr16:uid="{A4A7FD46-4309-4C3F-B950-B926DCAC00F1}" keepAlive="1" name="Query - fxToNumber" description="Connection to the 'fxToNumber' query in the workbook." type="5" refreshedVersion="0" background="1">
    <dbPr connection="Provider=Microsoft.Mashup.OleDb.1;Data Source=$Workbook$;Location=fxToNumber;Extended Properties=&quot;&quot;" command="SELECT * FROM [fxToNumber]"/>
  </connection>
  <connection id="42" xr16:uid="{8E042BF6-74E2-4661-B086-23DC6900D582}" keepAlive="1" name="Query - hRequirePricingResolved" description="Connection to the 'hRequirePricingResolved' query in the workbook." type="5" refreshedVersion="8" background="1" saveData="1">
    <dbPr connection="Provider=Microsoft.Mashup.OleDb.1;Data Source=$Workbook$;Location=hRequirePricingResolved;Extended Properties=&quot;&quot;" command="SELECT * FROM [hRequirePricingResolved]"/>
  </connection>
  <connection id="43" xr16:uid="{33566E25-63CC-469C-A908-4C933CFB0A42}" keepAlive="1" name="Query - kpi_summary" description="Connection to the 'kpi_summary' query in the workbook." type="5" refreshedVersion="8" background="1" saveData="1">
    <dbPr connection="Provider=Microsoft.Mashup.OleDb.1;Data Source=$Workbook$;Location=kpi_summary;Extended Properties=&quot;&quot;" command="SELECT * FROM [kpi_summary]"/>
  </connection>
  <connection id="44" xr16:uid="{9B5C1BE1-4EB3-4EFF-A604-F1B772E32053}" keepAlive="1" name="Query - out_allocation_summary" description="Connection to the 'out_allocation_summary' query in the workbook." type="5" refreshedVersion="8" background="1" saveData="1">
    <dbPr connection="Provider=Microsoft.Mashup.OleDb.1;Data Source=$Workbook$;Location=out_allocation_summary;Extended Properties=&quot;&quot;" command="SELECT * FROM [out_allocation_summary]"/>
  </connection>
  <connection id="45" xr16:uid="{DFE438B6-835D-4E02-A15B-895821246E75}" keepAlive="1" name="Query - qApplyMapSalesStrategy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6" xr16:uid="{83FA5335-10BF-4F72-921D-994C34BB1022}" keepAlive="1" name="Query - qApplyMapSalesStrategy1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7" xr16:uid="{7915E268-19BD-461B-BEB0-B75A61183567}" keepAlive="1" name="Query - qCheckProductionLegality" description="Connection to the 'qCheckProductionLegality' query in the workbook." type="5" refreshedVersion="0" background="1">
    <dbPr connection="Provider=Microsoft.Mashup.OleDb.1;Data Source=$Workbook$;Location=qCheckProductionLegality;Extended Properties=&quot;&quot;" command="SELECT * FROM [qCheckProductionLegality]"/>
  </connection>
  <connection id="48" xr16:uid="{DA864EFB-7EE3-45C3-9BCA-5CCD7204B79B}" keepAlive="1" name="Query - qCheckRetailFeasibility" description="Connection to the 'qCheckRetailFeasibility' query in the workbook." type="5" refreshedVersion="0" background="1">
    <dbPr connection="Provider=Microsoft.Mashup.OleDb.1;Data Source=$Workbook$;Location=qCheckRetailFeasibility;Extended Properties=&quot;&quot;" command="SELECT * FROM [qCheckRetailFeasibility]"/>
  </connection>
  <connection id="49" xr16:uid="{6538F31A-F84D-4B9F-8B20-9BA5629CE131}" keepAlive="1" name="Query - qCheckRetailLegality" description="Connection to the 'qCheckRetailLegality' query in the workbook." type="5" refreshedVersion="0" background="1">
    <dbPr connection="Provider=Microsoft.Mashup.OleDb.1;Data Source=$Workbook$;Location=qCheckRetailLegality;Extended Properties=&quot;&quot;" command="SELECT * FROM [qCheckRetailLegality]"/>
  </connection>
  <connection id="50" xr16:uid="{C8D0D874-8757-4EC1-8804-C84C8E513E7E}" keepAlive="1" name="Query - qCheckSalesStrategyRefs" description="Connection to the 'qCheckSalesStrategyRefs' query in the workbook." type="5" refreshedVersion="0" background="1">
    <dbPr connection="Provider=Microsoft.Mashup.OleDb.1;Data Source=$Workbook$;Location=qCheckSalesStrategyRefs;Extended Properties=&quot;&quot;" command="SELECT * FROM [qCheckSalesStrategyRefs]"/>
  </connection>
  <connection id="51" xr16:uid="{B0FB027B-640A-49D6-9C9C-07D8FC560BC7}" keepAlive="1" name="Query - qCheckSlotStateAllowsProduction" description="Connection to the 'qCheckSlotStateAllowsProduction' query in the workbook." type="5" refreshedVersion="0" background="1">
    <dbPr connection="Provider=Microsoft.Mashup.OleDb.1;Data Source=$Workbook$;Location=qCheckSlotStateAllowsProduction;Extended Properties=&quot;&quot;" command="SELECT * FROM [qCheckSlotStateAllowsProduction]"/>
  </connection>
  <connection id="52" xr16:uid="{ED65DF69-8F05-45B3-9DF5-AC5621689D5E}" keepAlive="1" name="Query - qCheckSplitIntegrity" description="Connection to the 'qCheckSplitIntegrity' query in the workbook." type="5" refreshedVersion="0" background="1">
    <dbPr connection="Provider=Microsoft.Mashup.OleDb.1;Data Source=$Workbook$;Location=qCheckSplitIntegrity;Extended Properties=&quot;&quot;" command="SELECT * FROM [qCheckSplitIntegrity]"/>
  </connection>
  <connection id="53" xr16:uid="{ED5672C2-057E-452D-BBCF-7CC3DF100FCF}" keepAlive="1" name="Query - qEnsureMapIsFeasible" description="Connection to the 'qEnsureMapIsFeasible' query in the workbook." type="5" refreshedVersion="0" background="1">
    <dbPr connection="Provider=Microsoft.Mashup.OleDb.1;Data Source=$Workbook$;Location=qEnsureMapIsFeasible;Extended Properties=&quot;&quot;" command="SELECT * FROM [qEnsureMapIsFeasible]"/>
  </connection>
  <connection id="54" xr16:uid="{939B0E4E-DDB7-465F-9389-D45A21A9D433}" keepAlive="1" name="Query - qFeasViolationSchema" description="Connection to the 'qFeasViolationSchema' query in the workbook." type="5" refreshedVersion="0" background="1">
    <dbPr connection="Provider=Microsoft.Mashup.OleDb.1;Data Source=$Workbook$;Location=qFeasViolationSchema;Extended Properties=&quot;&quot;" command="SELECT * FROM [qFeasViolationSchema]"/>
  </connection>
  <connection id="55" xr16:uid="{28F29010-FAAA-40A1-9369-F590D1BEBABD}" keepAlive="1" name="Query - qMapFeasibilityEnsured" description="Connection to the 'qMapFeasibilityEnsured' query in the workbook." type="5" refreshedVersion="0" background="1" saveData="1">
    <dbPr connection="Provider=Microsoft.Mashup.OleDb.1;Data Source=$Workbook$;Location=qMapFeasibilityEnsured;Extended Properties=&quot;&quot;" command="SELECT * FROM [qMapFeasibilityEnsured]"/>
  </connection>
  <connection id="56" xr16:uid="{BD8A307B-B040-488B-ACDB-BF712B5502D6}" keepAlive="1" name="Query - qMapHealthFactChannel" description="Connection to the 'qMapHealthFactChannel' query in the workbook." type="5" refreshedVersion="0" background="1">
    <dbPr connection="Provider=Microsoft.Mashup.OleDb.1;Data Source=$Workbook$;Location=qMapHealthFactChannel;Extended Properties=&quot;&quot;" command="SELECT * FROM [qMapHealthFactChannel]"/>
  </connection>
  <connection id="57" xr16:uid="{46503564-B019-43EB-9E1E-C4FF83FB4AF9}" keepAlive="1" name="Query - qMapHealthFactProduct" description="Connection to the 'qMapHealthFactProduct' query in the workbook." type="5" refreshedVersion="0" background="1">
    <dbPr connection="Provider=Microsoft.Mashup.OleDb.1;Data Source=$Workbook$;Location=qMapHealthFactProduct;Extended Properties=&quot;&quot;" command="SELECT * FROM [qMapHealthFactProduct]"/>
  </connection>
  <connection id="58" xr16:uid="{A463BC0E-B6CF-4DF2-8E5B-34DCF269AA9C}" keepAlive="1" name="Query - qMapHealthFactReplacementSnapshot" description="Connection to the 'qMapHealthFactReplacementSnapshot' query in the workbook." type="5" refreshedVersion="8" background="1" saveData="1">
    <dbPr connection="Provider=Microsoft.Mashup.OleDb.1;Data Source=$Workbook$;Location=qMapHealthFactReplacementSnapshot;Extended Properties=&quot;&quot;" command="SELECT * FROM [qMapHealthFactReplacementSnapshot]"/>
  </connection>
  <connection id="59" xr16:uid="{6152C16D-128E-4749-A0BA-38402A18EABD}" keepAlive="1" name="Query - qMapHealthFactSnapshot" description="Connection to the 'qMapHealthFactSnapshot' query in the workbook." type="5" refreshedVersion="0" background="1">
    <dbPr connection="Provider=Microsoft.Mashup.OleDb.1;Data Source=$Workbook$;Location=qMapHealthFactSnapshot;Extended Properties=&quot;&quot;" command="SELECT * FROM [qMapHealthFactSnapshot]"/>
  </connection>
  <connection id="60" xr16:uid="{BB1B5322-3686-4CCD-BD9C-C99B6356062B}" keepAlive="1" name="Query - qMapProductionIntent" description="Connection to the 'qMapProductionIntent' query in the workbook." type="5" refreshedVersion="0" background="1" saveData="1">
    <dbPr connection="Provider=Microsoft.Mashup.OleDb.1;Data Source=$Workbook$;Location=qMapProductionIntent;Extended Properties=&quot;&quot;" command="SELECT * FROM [qMapProductionIntent]"/>
  </connection>
  <connection id="61" xr16:uid="{1D790DE5-8136-40AF-86D8-0BCFC24E6B8D}" keepAlive="1" name="Query - qMapRetailIntent" description="Connection to the 'qMapRetailIntent' query in the workbook." type="5" refreshedVersion="0" background="1" saveData="1">
    <dbPr connection="Provider=Microsoft.Mashup.OleDb.1;Data Source=$Workbook$;Location=qMapRetailIntent;Extended Properties=&quot;&quot;" command="SELECT * FROM [qMapRetailIntent]"/>
  </connection>
  <connection id="62" xr16:uid="{FDAE3408-B698-489E-9FEE-7B30F5CB2B8E}" keepAlive="1" name="Query - qMapSalesStrategyApplied" description="Connection to the 'qMapSalesStrategyApplied' query in the workbook." type="5" refreshedVersion="0" background="1" saveData="1">
    <dbPr connection="Provider=Microsoft.Mashup.OleDb.1;Data Source=$Workbook$;Location=qMapSalesStrategyApplied;Extended Properties=&quot;&quot;" command="SELECT * FROM [qMapSalesStrategyApplied]"/>
  </connection>
  <connection id="63" xr16:uid="{392133A1-0319-4F19-A944-C559B9DCC5AB}" keepAlive="1" name="Query - qModeledBuildingEconomics" description="Connection to the 'qModeledBuildingEconomics' query in the workbook." type="5" refreshedVersion="0" background="1" saveData="1">
    <dbPr connection="Provider=Microsoft.Mashup.OleDb.1;Data Source=$Workbook$;Location=qModeledBuildingEconomics;Extended Properties=&quot;&quot;" command="SELECT * FROM [qModeledBuildingEconomics]"/>
  </connection>
  <connection id="64" xr16:uid="{F3B5B9F5-9593-476C-BB2C-58EBA2E633E8}" keepAlive="1" name="Query - qModeledModeEconomics" description="Connection to the 'qModeledModeEconomics' query in the workbook." type="5" refreshedVersion="0" background="1" saveData="1">
    <dbPr connection="Provider=Microsoft.Mashup.OleDb.1;Data Source=$Workbook$;Location=qModeledModeEconomics;Extended Properties=&quot;&quot;" command="SELECT * FROM [qModeledModeEconomics]"/>
  </connection>
  <connection id="65" xr16:uid="{E192B312-D567-490E-A0F5-A42DFABE983F}" keepAlive="1" name="Query - qModeledModeWages" description="Connection to the 'qModeledModeWages' query in the workbook." type="5" refreshedVersion="0" background="1" saveData="1">
    <dbPr connection="Provider=Microsoft.Mashup.OleDb.1;Data Source=$Workbook$;Location=qModeledModeWages;Extended Properties=&quot;&quot;" command="SELECT * FROM [qModeledModeWages]"/>
  </connection>
  <connection id="66" xr16:uid="{3502845A-7D60-4397-8C63-0D66906CB7F8}" keepAlive="1" name="Query - qModeledProductEconomics" description="Connection to the 'qModeledProductEconomics' query in the workbook." type="5" refreshedVersion="0" background="1" saveData="1">
    <dbPr connection="Provider=Microsoft.Mashup.OleDb.1;Data Source=$Workbook$;Location=qModeledProductEconomics;Extended Properties=&quot;&quot;" command="SELECT * FROM [qModeledProductEconomics]"/>
  </connection>
  <connection id="67" xr16:uid="{7542FBD7-4085-437B-9BB5-21180746CC98}" keepAlive="1" name="Query - qModeledSlotCosts" description="Connection to the 'qModeledSlotCosts' query in the workbook." type="5" refreshedVersion="0" background="1" saveData="1">
    <dbPr connection="Provider=Microsoft.Mashup.OleDb.1;Data Source=$Workbook$;Location=qModeledSlotCosts;Extended Properties=&quot;&quot;" command="SELECT * FROM [qModeledSlotCosts]"/>
  </connection>
  <connection id="68" xr16:uid="{AD7CE173-9495-4616-887C-C08127FCD911}" keepAlive="1" name="Query - qModelVersion" description="Connection to the 'qModelVersion' query in the workbook." type="5" refreshedVersion="0" background="1">
    <dbPr connection="Provider=Microsoft.Mashup.OleDb.1;Data Source=$Workbook$;Location=qModelVersion;Extended Properties=&quot;&quot;" command="SELECT * FROM [qModelVersion]"/>
  </connection>
  <connection id="69" xr16:uid="{859D111B-5EA4-4F34-8E7C-A3033261EA43}" keepAlive="1" name="Query - qObsBldgAttrib" description="Connection to the 'qObsBldgAttrib' query in the workbook." type="5" refreshedVersion="0" background="1">
    <dbPr connection="Provider=Microsoft.Mashup.OleDb.1;Data Source=$Workbook$;Location=qObsBldgAttrib;Extended Properties=&quot;&quot;" command="SELECT * FROM [qObsBldgAttrib]"/>
  </connection>
  <connection id="70" xr16:uid="{53E7D9EB-6F3C-4DCC-AE59-F45D4044CF90}" keepAlive="1" name="Query - qObservedBuildingAttribution" description="Connection to the 'qObservedBuildingAttribution' query in the workbook." type="5" refreshedVersion="0" background="1" saveData="1">
    <dbPr connection="Provider=Microsoft.Mashup.OleDb.1;Data Source=$Workbook$;Location=qObservedBuildingAttribution;Extended Properties=&quot;&quot;" command="SELECT * FROM [qObservedBuildingAttribution]"/>
  </connection>
  <connection id="71" xr16:uid="{33DA5153-0400-4D6F-AAD0-209DF577748A}" keepAlive="1" name="Query - qObservedProductAttribution" description="Connection to the 'qObservedProductAttribution' query in the workbook." type="5" refreshedVersion="0" background="1" saveData="1">
    <dbPr connection="Provider=Microsoft.Mashup.OleDb.1;Data Source=$Workbook$;Location=qObservedProductAttribution;Extended Properties=&quot;&quot;" command="SELECT * FROM [qObservedProductAttribution]"/>
  </connection>
  <connection id="72" xr16:uid="{727D7BAE-318D-49CA-BE04-F318EF3CC75B}" keepAlive="1" name="Query - qObsProdAttrib" description="Connection to the 'qObsProdAttrib' query in the workbook." type="5" refreshedVersion="0" background="1">
    <dbPr connection="Provider=Microsoft.Mashup.OleDb.1;Data Source=$Workbook$;Location=qObsProdAttrib;Extended Properties=&quot;&quot;" command="SELECT * FROM [qObsProdAttrib]"/>
  </connection>
  <connection id="73" xr16:uid="{6D484495-D7D5-4F67-A32B-E05747B75FEF}" keepAlive="1" name="Query - qPolicyIntentExpanded" description="Connection to the 'qPolicyIntentExpanded' query in the workbook." type="5" refreshedVersion="0" saveData="1">
    <dbPr connection="Provider=Microsoft.Mashup.OleDb.1;Data Source=$Workbook$;Location=qPolicyIntentExpanded;Extended Properties=&quot;&quot;" command="SELECT * FROM [qPolicyIntentExpanded]"/>
    <extLst>
      <ext xmlns:x15="http://schemas.microsoft.com/office/spreadsheetml/2010/11/main" uri="{DE250136-89BD-433C-8126-D09CA5730AF9}">
        <x15:connection id="" excludeFromRefreshAll="1"/>
      </ext>
    </extLst>
  </connection>
  <connection id="74" xr16:uid="{B74C4A75-0CDD-4F1B-8CF3-600819041D62}" keepAlive="1" name="Query - qPolicyIntentExpanded1" description="Connection to the 'qPolicyIntentExpanded' query in the workbook." type="5" refreshedVersion="0" background="1" saveData="1">
    <dbPr connection="Provider=Microsoft.Mashup.OleDb.1;Data Source=$Workbook$;Location=qPolicyIntentExpanded;Extended Properties=&quot;&quot;" command="SELECT * FROM [qPolicyIntentExpanded]"/>
  </connection>
  <connection id="75" xr16:uid="{8C483F1B-BC07-48DF-8FDE-2718B5FDAE0D}" keepAlive="1" name="Query - qPricingAtChannel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6" xr16:uid="{7C853765-90FE-443A-8914-6DD4965E6926}" keepAlive="1" name="Query - qPricingAtChannel1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7" xr16:uid="{9DEFA766-B24B-4E01-9970-389F2AE45266}" keepAlive="1" name="Query - qPricingLatest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8" xr16:uid="{A2D5EAE2-C1FD-453A-A695-A7728ECA30C3}" keepAlive="1" name="Query - qPricingLatest1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9" xr16:uid="{7A95D373-0AEF-46C2-A87A-4071E54156EA}" keepAlive="1" name="Query - qPricingResolved1" description="Connection to the 'qPricingResolved' query in the workbook." type="5" refreshedVersion="0" background="1">
    <dbPr connection="Provider=Microsoft.Mashup.OleDb.1;Data Source=$Workbook$;Location=qPricingResolved;Extended Properties=&quot;&quot;" command="SELECT * FROM [qPricingResolved]"/>
  </connection>
  <connection id="80" xr16:uid="{9C5F73DB-9062-467E-863F-7DF7EC55FDC0}" keepAlive="1" name="Query - qProductionLegalityValidated" description="Connection to the 'qProductionLegalityValidated' query in the workbook." type="5" refreshedVersion="0" background="1" saveData="1">
    <dbPr connection="Provider=Microsoft.Mashup.OleDb.1;Data Source=$Workbook$;Location=qProductionLegalityValidated;Extended Properties=&quot;&quot;" command="SELECT * FROM [qProductionLegalityValidated]"/>
  </connection>
  <connection id="81" xr16:uid="{5E92873E-9896-48C7-AF81-3E8AA934A45B}" keepAlive="1" name="Query - qRetailFeasibilityDiagnostics" description="Connection to the 'qRetailFeasibilityDiagnostics' query in the workbook." type="5" refreshedVersion="0" background="1" saveData="1">
    <dbPr connection="Provider=Microsoft.Mashup.OleDb.1;Data Source=$Workbook$;Location=qRetailFeasibilityDiagnostics;Extended Properties=&quot;&quot;" command="SELECT * FROM [qRetailFeasibilityDiagnostics]"/>
  </connection>
  <connection id="82" xr16:uid="{24F61EB2-D692-4F99-B126-9CFEFEDF662D}" keepAlive="1" name="Query - qRetailLegalityValidated" description="Connection to the 'qRetailLegalityValidated' query in the workbook." type="5" refreshedVersion="0" background="1" saveData="1">
    <dbPr connection="Provider=Microsoft.Mashup.OleDb.1;Data Source=$Workbook$;Location=qRetailLegalityValidated;Extended Properties=&quot;&quot;" command="SELECT * FROM [qRetailLegalityValidated]"/>
  </connection>
  <connection id="83" xr16:uid="{E52D3FD3-A2A1-4AF5-817E-B54F2D776019}" keepAlive="1" name="Query - qSellNowValueBase1" description="Connection to the 'qSellNowValueBase' query in the workbook." type="5" refreshedVersion="0" background="1">
    <dbPr connection="Provider=Microsoft.Mashup.OleDb.1;Data Source=$Workbook$;Location=qSellNowValueBase;Extended Properties=&quot;&quot;" command="SELECT * FROM [qSellNowValueBase]"/>
  </connection>
  <connection id="84" xr16:uid="{73C2BBF9-9769-41D2-80E2-32D74F6443C5}" keepAlive="1" name="Query - qSignalActivatedSnapshot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5" xr16:uid="{9CB3D128-5F1F-4AF1-BF03-49F848005F1E}" keepAlive="1" name="Query - qSignalActivatedSnapshot1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6" xr16:uid="{C6E2EB5E-7325-4F84-ADF4-1FD9C9A936C7}" keepAlive="1" name="Query - qSignalDiagnostics" description="Connection to the 'qSignalDiagnostics' query in the workbook." type="5" refreshedVersion="0" background="1">
    <dbPr connection="Provider=Microsoft.Mashup.OleDb.1;Data Source=$Workbook$;Location=qSignalDiagnostics;Extended Properties=&quot;&quot;" command="SELECT * FROM [qSignalDiagnostics]"/>
  </connection>
  <connection id="87" xr16:uid="{988FA77A-7C69-4E89-8833-2213409278D7}" keepAlive="1" name="Query - qSignalEngineAnnotated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8" xr16:uid="{574870D7-BEC0-42A9-84AA-E2C92AE853FC}" keepAlive="1" name="Query - qSignalEngineAnnotated1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9" xr16:uid="{B47FA08A-EBAB-47C7-A0B4-4677F70FAFED}" keepAlive="1" name="Query - qSignalFeaturesSnapshot" description="Connection to the 'qSignalFeaturesSnapshot' query in the workbook." type="5" refreshedVersion="0" background="1">
    <dbPr connection="Provider=Microsoft.Mashup.OleDb.1;Data Source=$Workbook$;Location=qSignalFeaturesSnapshot;Extended Properties=&quot;&quot;" command="SELECT * FROM [qSignalFeaturesSnapshot]"/>
  </connection>
  <connection id="90" xr16:uid="{F29FF29C-118C-4C57-821F-A13B703B869F}" keepAlive="1" name="Query - qSignalRawSpill" description="Connection to the 'qSignalRawSpill' query in the workbook." type="5" refreshedVersion="0" background="1">
    <dbPr connection="Provider=Microsoft.Mashup.OleDb.1;Data Source=$Workbook$;Location=qSignalRawSpill;Extended Properties=&quot;&quot;" command="SELECT * FROM [qSignalRawSpill]"/>
  </connection>
  <connection id="91" xr16:uid="{1294B8CD-D468-46DB-A158-616ACEE37003}" keepAlive="1" name="Query - qSignalSummarySnapshot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92" xr16:uid="{09D61E38-390F-461F-9246-70D5349BCF06}" keepAlive="1" name="Query - qSignalSummarySnapshot1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93" xr16:uid="{9D90648C-9F8A-4E64-BC7B-F73489DA974C}" keepAlive="1" name="Query - qSignalSurface" description="Connection to the 'qSignalSurface' query in the workbook." type="5" refreshedVersion="0" background="1">
    <dbPr connection="Provider=Microsoft.Mashup.OleDb.1;Data Source=$Workbook$;Location=qSignalSurface;Extended Properties=&quot;&quot;" command="SELECT * FROM [qSignalSurface]"/>
  </connection>
  <connection id="94" xr16:uid="{CB6BE86D-B710-46EF-8E7E-4E2B138A1AA8}" keepAlive="1" name="Query - qSignalSurfaceEvaluated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5" xr16:uid="{E14AD803-9017-4259-82DF-39AE1DB49048}" keepAlive="1" name="Query - qSignalSurfaceEvaluated1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6" xr16:uid="{02B35A5B-90D7-4EE2-9B48-0989E4563DF0}" keepAlive="1" name="Query - qSlotProductSplitValidated" description="Connection to the 'qSlotProductSplitValidated' query in the workbook." type="5" refreshedVersion="0" background="1" saveData="1">
    <dbPr connection="Provider=Microsoft.Mashup.OleDb.1;Data Source=$Workbook$;Location=qSlotProductSplitValidated;Extended Properties=&quot;&quot;" command="SELECT * FROM [qSlotProductSplitValidated]"/>
  </connection>
  <connection id="97" xr16:uid="{68138BA9-2DAC-4F45-BC1F-8E75E53CD165}" keepAlive="1" name="Query - qThroughput" description="Connection to the 'qThroughput' query in the workbook." type="5" refreshedVersion="0" background="1">
    <dbPr connection="Provider=Microsoft.Mashup.OleDb.1;Data Source=$Workbook$;Location=qThroughput;Extended Properties=&quot;&quot;" command="SELECT * FROM [qThroughput]"/>
  </connection>
  <connection id="98" xr16:uid="{F82B0C6F-3AB0-4170-8636-25D9A9CE64BD}" keepAlive="1" name="Query - qThroughputByChannel" description="Connection to the 'qThroughputByChannel' query in the workbook." type="5" refreshedVersion="0" background="1" saveData="1">
    <dbPr connection="Provider=Microsoft.Mashup.OleDb.1;Data Source=$Workbook$;Location=qThroughputByChannel;Extended Properties=&quot;&quot;" command="SELECT * FROM [qThroughputByChannel]"/>
  </connection>
  <connection id="99" xr16:uid="{F2CCCEB2-27D2-4CC1-A584-5C74F6ECCD37}" keepAlive="1" name="Query - stgAllTables" description="Connection to the 'stgAllTables' query in the workbook." type="5" refreshedVersion="0" background="1">
    <dbPr connection="Provider=Microsoft.Mashup.OleDb.1;Data Source=$Workbook$;Location=stgAllTables;Extended Properties=&quot;&quot;" command="SELECT * FROM [stgAllTables]"/>
  </connection>
  <connection id="100" xr16:uid="{633A627C-BC73-4211-82C8-57CCD74DA246}" keepAlive="1" name="Query - stgBuilding" description="Connection to the 'stgBuilding' query in the workbook." type="5" refreshedVersion="0" background="1" saveData="1">
    <dbPr connection="Provider=Microsoft.Mashup.OleDb.1;Data Source=$Workbook$;Location=stgBuilding;Extended Properties=&quot;&quot;" command="SELECT * FROM [stgBuilding]"/>
  </connection>
  <connection id="101" xr16:uid="{734F2F47-6E5D-47CF-B209-0E7DFA4C551C}" keepAlive="1" name="Query - stgBuildingCategory" description="Connection to the 'stgBuildingCategory' query in the workbook." type="5" refreshedVersion="0" background="1" saveData="1">
    <dbPr connection="Provider=Microsoft.Mashup.OleDb.1;Data Source=$Workbook$;Location=stgBuildingCategory;Extended Properties=&quot;&quot;" command="SELECT * FROM [stgBuildingCategory]"/>
  </connection>
  <connection id="102" xr16:uid="{C29E90B1-F582-4B7C-B17B-3B05B2B224B1}" keepAlive="1" name="Query - stgCompanyFinancials" description="Connection to the 'stgCompanyFinancials' query in the workbook." type="5" refreshedVersion="0" background="1" saveData="1">
    <dbPr connection="Provider=Microsoft.Mashup.OleDb.1;Data Source=$Workbook$;Location=stgCompanyFinancials;Extended Properties=&quot;&quot;" command="SELECT * FROM [stgCompanyFinancials]"/>
  </connection>
  <connection id="103" xr16:uid="{BF92216F-267C-42E4-85DD-01F9704B0C19}" keepAlive="1" name="Query - stgCompanyGameModifiers" description="Connection to the 'stgCompanyGameModifiers' query in the workbook." type="5" refreshedVersion="8" background="1" saveData="1">
    <dbPr connection="Provider=Microsoft.Mashup.OleDb.1;Data Source=$Workbook$;Location=stgCompanyGameModifiers;Extended Properties=&quot;&quot;" command="SELECT * FROM [stgCompanyGameModifiers]"/>
  </connection>
  <connection id="104" xr16:uid="{C93E97FD-8955-49E7-B204-B30C3681FE6D}" keepAlive="1" name="Query - stgCompanyMapStructure" description="Connection to the 'stgCompanyMapStructure' query in the workbook." type="5" refreshedVersion="0" background="1" saveData="1">
    <dbPr connection="Provider=Microsoft.Mashup.OleDb.1;Data Source=$Workbook$;Location=stgCompanyMapStructure;Extended Properties=&quot;&quot;" command="SELECT * FROM [stgCompanyMapStructure]"/>
  </connection>
  <connection id="105" xr16:uid="{2A341813-AF65-40D9-B4BD-9CD9604D932A}" keepAlive="1" name="Query - stgCompanySnapshot" description="Connection to the 'stgCompanySnapshot' query in the workbook." type="5" refreshedVersion="0" background="1" saveData="1">
    <dbPr connection="Provider=Microsoft.Mashup.OleDb.1;Data Source=$Workbook$;Location=stgCompanySnapshot;Extended Properties=&quot;&quot;" command="SELECT * FROM [stgCompanySnapshot]"/>
  </connection>
  <connection id="106" xr16:uid="{84115A2C-CFE4-4D41-97C9-4EF0CD51CF4B}" keepAlive="1" name="Query - stgConsMatProduct" description="Connection to the 'stgConsMatProduct' query in the workbook." type="5" refreshedVersion="0" background="1">
    <dbPr connection="Provider=Microsoft.Mashup.OleDb.1;Data Source=$Workbook$;Location=stgConsMatProduct;Extended Properties=&quot;&quot;" command="SELECT * FROM [stgConsMatProduct]"/>
  </connection>
  <connection id="107" xr16:uid="{11A3132D-4966-4AD9-9019-B6825AE7AB4C}" keepAlive="1" name="Query - stgDimBuildingCategory" description="Connection to the 'stgDimBuildingCategory' query in the workbook." type="5" refreshedVersion="0" background="1">
    <dbPr connection="Provider=Microsoft.Mashup.OleDb.1;Data Source=$Workbook$;Location=stgDimBuildingCategory;Extended Properties=&quot;&quot;" command="SELECT * FROM [stgDimBuildingCategory]"/>
  </connection>
  <connection id="108" xr16:uid="{4786CB67-5F1F-43D4-B1D0-AC81731B0733}" keepAlive="1" name="Query - stgDimSalesChannel" description="Connection to the 'stgDimSalesChannel' query in the workbook." type="5" refreshedVersion="0" background="1" saveData="1">
    <dbPr connection="Provider=Microsoft.Mashup.OleDb.1;Data Source=$Workbook$;Location=stgDimSalesChannel;Extended Properties=&quot;&quot;" command="SELECT * FROM [stgDimSalesChannel]"/>
  </connection>
  <connection id="109" xr16:uid="{B5A3EFBB-BC6E-414D-B77E-2E1515275387}" keepAlive="1" name="Query - stgDimSlotStateCapacity" description="Connection to the 'stgDimSlotStateCapacity' query in the workbook." type="5" refreshedVersion="0" background="1">
    <dbPr connection="Provider=Microsoft.Mashup.OleDb.1;Data Source=$Workbook$;Location=stgDimSlotStateCapacity;Extended Properties=&quot;&quot;" command="SELECT * FROM [stgDimSlotStateCapacity]"/>
  </connection>
  <connection id="110" xr16:uid="{746CA01F-9B1A-42CF-98E5-BBB6E5FB8697}" keepAlive="1" name="Query - stgExchangePricingResolved" description="Connection to the 'stgExchangePricingResolved' query in the workbook." type="5" refreshedVersion="0" background="1">
    <dbPr connection="Provider=Microsoft.Mashup.OleDb.1;Data Source=$Workbook$;Location=stgExchangePricingResolved;Extended Properties=&quot;&quot;" command="SELECT * FROM [stgExchangePricingResolved]"/>
  </connection>
  <connection id="111" xr16:uid="{8AE356FC-CFD0-4894-84F3-35F6543C96D6}" keepAlive="1" name="Query - stgMapProducingSlots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12" xr16:uid="{D4534CCC-E169-4174-916E-36863A5FBA2B}" keepAlive="1" name="Query - stgMapProducingSlots1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13" xr16:uid="{605CA4E6-CE92-4EF6-9761-072BA18275E9}" keepAlive="1" name="Query - stgMapProductSplitResolved" description="Connection to the 'stgMapProductSplitResolved' query in the workbook." type="5" refreshedVersion="0" background="1" saveData="1">
    <dbPr connection="Provider=Microsoft.Mashup.OleDb.1;Data Source=$Workbook$;Location=stgMapProductSplitResolved;Extended Properties=&quot;&quot;" command="SELECT * FROM [stgMapProductSplitResolved]"/>
  </connection>
  <connection id="114" xr16:uid="{46419403-07C4-430D-B486-411C16191CDB}" keepAlive="1" name="Query - stgMapRetailingSlots" description="Connection to the 'stgMapRetailingSlots' query in the workbook." type="5" refreshedVersion="8" background="1" saveData="1">
    <dbPr connection="Provider=Microsoft.Mashup.OleDb.1;Data Source=$Workbook$;Location=stgMapRetailingSlots;Extended Properties=&quot;&quot;" command="SELECT * FROM [stgMapRetailingSlots]"/>
  </connection>
  <connection id="115" xr16:uid="{689ED6F4-B0FB-40AA-956F-C1CEFD7F541B}" keepAlive="1" name="Query - stgMapRetailingSlots(1)" description="Connection to the 'stgMapRetailingSlots' query in the workbook." type="5" refreshedVersion="0" background="1">
    <dbPr connection="Provider=Microsoft.Mashup.OleDb.1;Data Source=$Workbook$;Location=stgMapRetailingSlots;Extended Properties=&quot;&quot;" command="SELECT * FROM [stgMapRetailingSlots]"/>
  </connection>
  <connection id="116" xr16:uid="{2E5B1ED0-3C0E-4400-B56E-F527757B8333}" keepAlive="1" name="Query - stgMapSalesStrategyResolved" description="Connection to the 'stgMapSalesStrategyResolved' query in the workbook." type="5" refreshedVersion="8" background="1" saveData="1">
    <dbPr connection="Provider=Microsoft.Mashup.OleDb.1;Data Source=$Workbook$;Location=stgMapSalesStrategyResolved;Extended Properties=&quot;&quot;" command="SELECT * FROM [stgMapSalesStrategyResolved]"/>
  </connection>
  <connection id="117" xr16:uid="{45B8F07B-3915-40B5-B254-3763117CB76C}" keepAlive="1" name="Query - stgMapSlotProductSplitResolved" description="Connection to the 'stgMapSlotProductSplitResolved' query in the workbook." type="5" refreshedVersion="0" background="1" saveData="1">
    <dbPr connection="Provider=Microsoft.Mashup.OleDb.1;Data Source=$Workbook$;Location=stgMapSlotProductSplitResolved;Extended Properties=&quot;&quot;" command="SELECT * FROM [stgMapSlotProductSplitResolved]"/>
  </connection>
  <connection id="118" xr16:uid="{6799A8BC-123C-4FEE-A6A6-471EE5220571}" keepAlive="1" name="Query - stgMapStructureResolved" description="Connection to the 'stgMapStructureResolved' query in the workbook." type="5" refreshedVersion="8" background="1" saveData="1">
    <dbPr connection="Provider=Microsoft.Mashup.OleDb.1;Data Source=$Workbook$;Location=stgMapStructureResolved;Extended Properties=&quot;&quot;" command="SELECT * FROM [stgMapStructureResolved]"/>
  </connection>
  <connection id="119" xr16:uid="{8D511E67-EA11-4A5D-889A-18226A9242B0}" keepAlive="1" name="Query - stgPricingResolved" description="Connection to the 'stgPricingResolved' query in the workbook." type="5" refreshedVersion="0" background="1" saveData="1">
    <dbPr connection="Provider=Microsoft.Mashup.OleDb.1;Data Source=$Workbook$;Location=stgPricingResolved;Extended Properties=&quot;&quot;" command="SELECT * FROM [stgPricingResolved]"/>
  </connection>
  <connection id="120" xr16:uid="{5F8C616A-F767-4CE3-A415-9405DDCB74CE}" keepAlive="1" name="Query - stgProduct" description="Connection to the 'stgProduct' query in the workbook." type="5" refreshedVersion="0" background="1" saveData="1">
    <dbPr connection="Provider=Microsoft.Mashup.OleDb.1;Data Source=$Workbook$;Location=stgProduct;Extended Properties=&quot;&quot;" command="SELECT * FROM [stgProduct]"/>
  </connection>
  <connection id="121" xr16:uid="{07CA0B69-C443-496A-A7F0-FF39ED78E54E}" keepAlive="1" name="Query - stgProductInputs" description="Connection to the 'stgProductInputs' query in the workbook." type="5" refreshedVersion="8" background="1" saveData="1">
    <dbPr connection="Provider=Microsoft.Mashup.OleDb.1;Data Source=$Workbook$;Location=stgProductInputs;Extended Properties=&quot;&quot;" command="SELECT * FROM [stgProductInputs]"/>
  </connection>
  <connection id="122" xr16:uid="{F4E5DD5A-ABDD-4AFB-A96C-60473F0FD726}" keepAlive="1" name="Query - stgProductRetailBuildingAllowed" description="Connection to the 'stgProductRetailBuildingAllowed' query in the workbook." type="5" refreshedVersion="0" background="1" saveData="1">
    <dbPr connection="Provider=Microsoft.Mashup.OleDb.1;Data Source=$Workbook$;Location=stgProductRetailBuildingAllowed;Extended Properties=&quot;&quot;" command="SELECT * FROM [stgProductRetailBuildingAllowed]"/>
  </connection>
  <connection id="123" xr16:uid="{A3824CC4-F7C0-488F-A01B-D8664F149E46}" keepAlive="1" name="Query - stgRefBuilding" description="Connection to the 'stgRefBuilding' query in the workbook." type="5" refreshedVersion="0" background="1" saveData="1">
    <dbPr connection="Provider=Microsoft.Mashup.OleDb.1;Data Source=$Workbook$;Location=stgRefBuilding;Extended Properties=&quot;&quot;" command="SELECT * FROM [stgRefBuilding]"/>
  </connection>
  <connection id="124" xr16:uid="{9202E1E0-A05D-4030-BF63-2012F7BD24B2}" keepAlive="1" name="Query - stgRefPricing1" description="Connection to the 'stgRefPricing' query in the workbook." type="5" refreshedVersion="0" background="1">
    <dbPr connection="Provider=Microsoft.Mashup.OleDb.1;Data Source=$Workbook$;Location=stgRefPricing;Extended Properties=&quot;&quot;" command="SELECT * FROM [stgRefPricing]"/>
  </connection>
  <connection id="125" xr16:uid="{B8348969-76B1-44CD-B7B6-1F86AD631385}" keepAlive="1" name="Query - stgRefPricingResolved" description="Connection to the 'stgRefPricingResolved' query in the workbook." type="5" refreshedVersion="0" background="1">
    <dbPr connection="Provider=Microsoft.Mashup.OleDb.1;Data Source=$Workbook$;Location=stgRefPricingResolved;Extended Properties=&quot;&quot;" command="SELECT * FROM [stgRefPricingResolved]"/>
  </connection>
  <connection id="126" xr16:uid="{D160AC7E-A5B4-4BEE-995E-3E91ADBBF183}" keepAlive="1" name="Query - stgRefProdRetailBldg" description="Connection to the 'stgRefProdRetailBldg' query in the workbook." type="5" refreshedVersion="0" background="1" saveData="1">
    <dbPr connection="Provider=Microsoft.Mashup.OleDb.1;Data Source=$Workbook$;Location=stgRefProdRetailBldg;Extended Properties=&quot;&quot;" command="SELECT * FROM [stgRefProdRetailBldg]"/>
  </connection>
  <connection id="127" xr16:uid="{97AA11B4-E134-49ED-9451-4A688136E139}" keepAlive="1" name="Query - stgRefProduct" description="Connection to the 'stgRefProduct' query in the workbook." type="5" refreshedVersion="0" background="1" saveData="1">
    <dbPr connection="Provider=Microsoft.Mashup.OleDb.1;Data Source=$Workbook$;Location=stgRefProduct;Extended Properties=&quot;&quot;" command="SELECT * FROM [stgRefProduct]"/>
  </connection>
  <connection id="128" xr16:uid="{02E024A3-7945-46A4-9C53-25513350E293}" keepAlive="1" name="Query - stgRefSalesChannel" description="Connection to the 'stgRefSalesChannel' query in the workbook." type="5" refreshedVersion="0" background="1">
    <dbPr connection="Provider=Microsoft.Mashup.OleDb.1;Data Source=$Workbook$;Location=stgRefSalesChannel;Extended Properties=&quot;&quot;" command="SELECT * FROM [stgRefSalesChannel]"/>
  </connection>
  <connection id="129" xr16:uid="{8712D1CA-1770-4870-B8E5-6A9092A391F1}" keepAlive="1" name="Query - stgRetailPricingResolved" description="Connection to the 'stgRetailPricingResolved' query in the workbook." type="5" refreshedVersion="0" background="1" saveData="1">
    <dbPr connection="Provider=Microsoft.Mashup.OleDb.1;Data Source=$Workbook$;Location=stgRetailPricingResolved;Extended Properties=&quot;&quot;" command="SELECT * FROM [stgRetailPricingResolved]"/>
  </connection>
  <connection id="130" xr16:uid="{D696822F-6097-4C74-92F3-B0F9AF61C8F9}" keepAlive="1" name="Query - stgSalesChannel" description="Connection to the 'stgSalesChannel' query in the workbook." type="5" refreshedVersion="0" background="1" saveData="1">
    <dbPr connection="Provider=Microsoft.Mashup.OleDb.1;Data Source=$Workbook$;Location=stgSalesChannel;Extended Properties=&quot;&quot;" command="SELECT * FROM [stgSalesChannel]"/>
  </connection>
  <connection id="131" xr16:uid="{6049B5B6-F5CC-49BD-9764-D1B0779E6C45}" keepAlive="1" name="Query - stgSignalRules(1)" description="Connection to the 'stgSignalRules' query in the workbook." type="5" refreshedVersion="0" background="1">
    <dbPr connection="Provider=Microsoft.Mashup.OleDb.1;Data Source=$Workbook$;Location=stgSignalRules;Extended Properties=&quot;&quot;" command="SELECT * FROM [stgSignalRules]"/>
  </connection>
  <connection id="132" xr16:uid="{C3DF554A-9E8C-4341-B95B-44847A8710A4}" keepAlive="1" name="Query - stgSignalRulesChannel1" description="Connection to the 'stgSignalRulesChannel' query in the workbook." type="5" refreshedVersion="0" background="1">
    <dbPr connection="Provider=Microsoft.Mashup.OleDb.1;Data Source=$Workbook$;Location=stgSignalRulesChannel;Extended Properties=&quot;&quot;" command="SELECT * FROM [stgSignalRulesChannel]"/>
  </connection>
  <connection id="133" xr16:uid="{DE4F14CE-644C-40A9-BCCD-FE4B8594E826}" keepAlive="1" name="Query - stgSignalRulesProduct1" description="Connection to the 'stgSignalRulesProduct' query in the workbook." type="5" refreshedVersion="0" background="1">
    <dbPr connection="Provider=Microsoft.Mashup.OleDb.1;Data Source=$Workbook$;Location=stgSignalRulesProduct;Extended Properties=&quot;&quot;" command="SELECT * FROM [stgSignalRulesProduct]"/>
  </connection>
  <connection id="134" xr16:uid="{9921E0D3-0EA8-4ACF-941B-16978FF6B972}" keepAlive="1" name="Query - stgSignalRulesSnapshot1" description="Connection to the 'stgSignalRulesSnapshot' query in the workbook." type="5" refreshedVersion="0" background="1">
    <dbPr connection="Provider=Microsoft.Mashup.OleDb.1;Data Source=$Workbook$;Location=stgSignalRulesSnapshot;Extended Properties=&quot;&quot;" command="SELECT * FROM [stgSignalRulesSnapshot]"/>
  </connection>
  <connection id="135" xr16:uid="{18401B57-E18A-4615-9EF5-B8570C7D48EA}" keepAlive="1" name="Query - stgSlotState" description="Connection to the 'stgSlotState' query in the workbook." type="5" refreshedVersion="0" background="1" saveData="1">
    <dbPr connection="Provider=Microsoft.Mashup.OleDb.1;Data Source=$Workbook$;Location=stgSlotState;Extended Properties=&quot;&quot;" command="SELECT * FROM [stgSlotState]"/>
  </connection>
  <connection id="136" xr16:uid="{41334969-D7E3-483E-A439-CC858063DA73}" keepAlive="1" name="Query - stgSysSlotState" description="Connection to the 'stgSysSlotState' query in the workbook." type="5" refreshedVersion="8" background="1" saveData="1">
    <dbPr connection="Provider=Microsoft.Mashup.OleDb.1;Data Source=$Workbook$;Location=stgSysSlotState;Extended Properties=&quot;&quot;" command="SELECT * FROM [stgSysSlotState]"/>
  </connection>
  <connection id="137" xr16:uid="{F08AC176-BC9F-48B7-97B8-9779F274A7FD}" keepAlive="1" name="Query - tblCompany" description="Connection to the 'tblCompany' query in the workbook." type="5" refreshedVersion="8" background="1" saveData="1">
    <dbPr connection="Provider=Microsoft.Mashup.OleDb.1;Data Source=$Workbook$;Location=tblCompany;Extended Properties=&quot;&quot;" command="SELECT * FROM [tblCompany]"/>
  </connection>
  <connection id="138" xr16:uid="{E88A33E3-4052-476C-B209-6543A782D613}" keepAlive="1" name="Query - tblMapHealthModeledAnalysis" description="Connection to the 'tblMapHealthModeledAnalysis' query in the workbook." type="5" refreshedVersion="8" background="1" saveData="1">
    <dbPr connection="Provider=Microsoft.Mashup.OleDb.1;Data Source=$Workbook$;Location=tblMapHealthModeledAnalysis;Extended Properties=&quot;&quot;" command="SELECT * FROM [tblMapHealthModeledAnalysis]"/>
  </connection>
  <connection id="139" xr16:uid="{36562289-9F57-4BCF-B2CC-EAABCFD13928}" keepAlive="1" name="Query - tblMapHealthModeledBuildingAnalysis" description="Connection to the 'tblMapHealthModeledBuildingAnalysis' query in the workbook." type="5" refreshedVersion="8" background="1" saveData="1">
    <dbPr connection="Provider=Microsoft.Mashup.OleDb.1;Data Source=$Workbook$;Location=tblMapHealthModeledBuildingAnalysis;Extended Properties=&quot;&quot;" command="SELECT * FROM [tblMapHealthModeledBuildingAnalysis]"/>
  </connection>
  <connection id="140" xr16:uid="{CB244B3D-17B5-442E-BCF1-B4604990EA7F}" keepAlive="1" name="Query - tblMapHealthModeledEconomicsSummary" description="Connection to the 'tblMapHealthModeledEconomicsSummary' query in the workbook." type="5" refreshedVersion="8" background="1" saveData="1">
    <dbPr connection="Provider=Microsoft.Mashup.OleDb.1;Data Source=$Workbook$;Location=tblMapHealthModeledEconomicsSummary;Extended Properties=&quot;&quot;" command="SELECT * FROM [tblMapHealthModeledEconomicsSummary]"/>
  </connection>
  <connection id="141" xr16:uid="{8B26825D-3107-4A62-B4C3-44EDDDF52BC4}" keepAlive="1" name="Query - tblMapHealthModeledModeAnalysis" description="Connection to the 'tblMapHealthModeledModeAnalysis' query in the workbook." type="5" refreshedVersion="8" background="1" saveData="1">
    <dbPr connection="Provider=Microsoft.Mashup.OleDb.1;Data Source=$Workbook$;Location=tblMapHealthModeledModeAnalysis;Extended Properties=&quot;&quot;" command="SELECT * FROM [tblMapHealthModeledModeAnalysis]"/>
  </connection>
  <connection id="142" xr16:uid="{DD33EC21-F04A-4E01-8102-A27E9F3F7061}" keepAlive="1" name="Query - tblMapHealthModeledProductAnalysis" description="Connection to the 'tblMapHealthModeledProductAnalysis' query in the workbook." type="5" refreshedVersion="8" background="1" saveData="1">
    <dbPr connection="Provider=Microsoft.Mashup.OleDb.1;Data Source=$Workbook$;Location=tblMapHealthModeledProductAnalysis;Extended Properties=&quot;&quot;" command="SELECT * FROM [tblMapHealthModeledProductAnalysis]"/>
  </connection>
  <connection id="143" xr16:uid="{30A65E09-642B-48BF-9868-6DF25D3D3F99}" keepAlive="1" name="Query - tblMapHealthModeledThroughputAnalysis" description="Connection to the 'tblMapHealthModeledThroughputAnalysis' query in the workbook." type="5" refreshedVersion="8" background="1" saveData="1">
    <dbPr connection="Provider=Microsoft.Mashup.OleDb.1;Data Source=$Workbook$;Location=tblMapHealthModeledThroughputAnalysis;Extended Properties=&quot;&quot;" command="SELECT * FROM [tblMapHealthModeledThroughputAnalysis]"/>
  </connection>
  <connection id="144" xr16:uid="{FBA482A5-ADCC-4EA3-B9F7-A1A3B506FEAB}" keepAlive="1" name="Query - tblMapHealthModeledTransportAnalysis" description="Connection to the 'tblMapHealthModeledTransportAnalysis' query in the workbook." type="5" refreshedVersion="8" background="1" saveData="1">
    <dbPr connection="Provider=Microsoft.Mashup.OleDb.1;Data Source=$Workbook$;Location=tblMapHealthModeledTransportAnalysis;Extended Properties=&quot;&quot;" command="SELECT * FROM [tblMapHealthModeledTransportAnalysis]"/>
  </connection>
  <connection id="145" xr16:uid="{097129A9-ECE1-4F15-BB86-FBE11B2DA79F}" keepAlive="1" name="Query - tblMapHealthObservedAnalysis" description="Connection to the 'tblMapHealthObservedAnalysis' query in the workbook." type="5" refreshedVersion="8" background="1" saveData="1">
    <dbPr connection="Provider=Microsoft.Mashup.OleDb.1;Data Source=$Workbook$;Location=tblMapHealthObservedAnalysis;Extended Properties=&quot;&quot;" command="SELECT * FROM [tblMapHealthObservedAnalysis]"/>
  </connection>
  <connection id="146" xr16:uid="{69246AE0-776A-40F1-BDBA-A7839B06C4AD}" keepAlive="1" name="Query - tblMapHealthObservedScalars" description="Connection to the 'tblMapHealthObservedScalars' query in the workbook." type="5" refreshedVersion="8" background="1" saveData="1">
    <dbPr connection="Provider=Microsoft.Mashup.OleDb.1;Data Source=$Workbook$;Location=tblMapHealthObservedScalars;Extended Properties=&quot;&quot;" command="SELECT * FROM [tblMapHealthObservedScalars]"/>
  </connection>
  <connection id="147" xr16:uid="{DEBD14FB-CA86-4176-82A8-77E090A982AB}" keepAlive="1" name="Query - tblMapHealthReplacementSnapshot1" description="Connection to the 'tblMapHealthReplacementSnapshot' query in the workbook." type="5" refreshedVersion="8" background="1" saveData="1">
    <dbPr connection="Provider=Microsoft.Mashup.OleDb.1;Data Source=$Workbook$;Location=tblMapHealthReplacementSnapshot;Extended Properties=&quot;&quot;" command="SELECT * FROM [tblMapHealthReplacementSnapshot]"/>
  </connection>
  <connection id="148" xr16:uid="{75256584-DBEA-4077-8489-B41E451D71A5}" keepAlive="1" name="Query - tblMapStructure" description="Connection to the 'tblMapStructure' query in the workbook." type="5" refreshedVersion="8" background="1" saveData="1">
    <dbPr connection="Provider=Microsoft.Mashup.OleDb.1;Data Source=$Workbook$;Location=tblMapStructure;Extended Properties=&quot;&quot;" command="SELECT * FROM [tblMapStructure]"/>
  </connection>
  <connection id="149" xr16:uid="{46B0C67C-C22B-49D7-88EE-339D8681A62E}" keepAlive="1" name="Query - tblOverrideExchangePrices" description="Connection to the 'tblOverrideExchangePrices' query in the workbook." type="5" refreshedVersion="8" background="1" saveData="1">
    <dbPr connection="Provider=Microsoft.Mashup.OleDb.1;Data Source=$Workbook$;Location=tblOverrideExchangePrices;Extended Properties=&quot;&quot;" command="SELECT * FROM [tblOverrideExchangePrices]"/>
  </connection>
  <connection id="150" xr16:uid="{5CDC6381-B0A4-4EDE-B226-069C7B4A6BB2}" keepAlive="1" name="Query - tblOverrideRetailPrices" description="Connection to the 'tblOverrideRetailPrices' query in the workbook." type="5" refreshedVersion="8" background="1" saveData="1">
    <dbPr connection="Provider=Microsoft.Mashup.OleDb.1;Data Source=$Workbook$;Location=tblOverrideRetailPrices;Extended Properties=&quot;&quot;" command="SELECT * FROM [tblOverrideRetailPrices]"/>
  </connection>
  <connection id="151" xr16:uid="{1A2337B4-D420-4F94-9DC6-796E7E4CBC87}" keepAlive="1" name="Query - tblProductionPlan" description="Connection to the 'tblProductionPlan' query in the workbook." type="5" refreshedVersion="8" background="1" saveData="1">
    <dbPr connection="Provider=Microsoft.Mashup.OleDb.1;Data Source=$Workbook$;Location=tblProductionPlan;Extended Properties=&quot;&quot;" command="SELECT * FROM [tblProductionPlan]"/>
  </connection>
  <connection id="152" xr16:uid="{2F5963A3-7ED1-4D09-B9FA-B0C3FC4B45FA}" keepAlive="1" name="Query - tblSalesPlan" description="Connection to the 'tblSalesPlan' query in the workbook." type="5" refreshedVersion="8" background="1" saveData="1">
    <dbPr connection="Provider=Microsoft.Mashup.OleDb.1;Data Source=$Workbook$;Location=tblSalesPlan;Extended Properties=&quot;&quot;" command="SELECT * FROM [tblSalesPlan]"/>
  </connection>
  <connection id="153" xr16:uid="{09677AA9-1EC6-403D-BF5B-67898701244C}" keepAlive="1" name="Query - tblSignalDetail" description="Connection to the 'tblSignalDetail' query in the workbook." type="5" refreshedVersion="8" background="1" saveData="1">
    <dbPr connection="Provider=Microsoft.Mashup.OleDb.1;Data Source=$Workbook$;Location=tblSignalDetail;Extended Properties=&quot;&quot;" command="SELECT * FROM [tblSignalDetail]"/>
  </connection>
  <connection id="154" xr16:uid="{11CDD66E-9807-41F3-95FE-A7FC4D30578A}" keepAlive="1" name="Query - tblSignalRaw" description="Connection to the 'tblSignalRaw' query in the workbook." type="5" refreshedVersion="8" background="1" saveData="1">
    <dbPr connection="Provider=Microsoft.Mashup.OleDb.1;Data Source=$Workbook$;Location=tblSignalRaw;Extended Properties=&quot;&quot;" command="SELECT * FROM [tblSignalRaw]"/>
  </connection>
  <connection id="155" xr16:uid="{2522E5C4-08DE-4D19-A740-6DA4BCAAAC0E}" keepAlive="1" name="Query - tblSignalSummary" description="Connection to the 'tblSignalSummary' query in the workbook." type="5" refreshedVersion="8" background="1" saveData="1">
    <dbPr connection="Provider=Microsoft.Mashup.OleDb.1;Data Source=$Workbook$;Location=tblSignalSummary;Extended Properties=&quot;&quot;" command="SELECT * FROM [tblSignalSummary]"/>
  </connection>
  <connection id="156" xr16:uid="{D5B39BFA-3DFB-4639-BFFC-7465F7B30285}" keepAlive="1" name="Query - tblSignalSummary1" description="Connection to the 'tblSignalSummary' query in the workbook." type="5" refreshedVersion="0" background="1">
    <dbPr connection="Provider=Microsoft.Mashup.OleDb.1;Data Source=$Workbook$;Location=tblSignalSummary;Extended Properties=&quot;&quot;" command="SELECT * FROM [tblSignalSummary]"/>
  </connection>
</connections>
</file>

<file path=xl/sharedStrings.xml><?xml version="1.0" encoding="utf-8"?>
<sst xmlns="http://schemas.openxmlformats.org/spreadsheetml/2006/main" count="252" uniqueCount="101">
  <si>
    <t>Notes</t>
  </si>
  <si>
    <t>Enabled</t>
  </si>
  <si>
    <t>Building Name</t>
  </si>
  <si>
    <t>Building Level</t>
  </si>
  <si>
    <t>Quality Level</t>
  </si>
  <si>
    <t>Company Key</t>
  </si>
  <si>
    <t>Company Name</t>
  </si>
  <si>
    <t>Company Level</t>
  </si>
  <si>
    <t>Snapshot Date</t>
  </si>
  <si>
    <t>Production Speed %</t>
  </si>
  <si>
    <t>Sales Speed %</t>
  </si>
  <si>
    <t>Slot</t>
  </si>
  <si>
    <t>Robots Installed</t>
  </si>
  <si>
    <t>Production Split %</t>
  </si>
  <si>
    <t>Priority</t>
  </si>
  <si>
    <t>Company</t>
  </si>
  <si>
    <t>Map Structure</t>
  </si>
  <si>
    <t>Production Plan</t>
  </si>
  <si>
    <t>Override Exchange Prices</t>
  </si>
  <si>
    <t>Unit Price</t>
  </si>
  <si>
    <t>Override Retail Prices</t>
  </si>
  <si>
    <t>Quantum Spin Ltd</t>
  </si>
  <si>
    <t>Magnates</t>
  </si>
  <si>
    <t>Entrepreneurs</t>
  </si>
  <si>
    <t>Power Plant</t>
  </si>
  <si>
    <t>Water Reservoir</t>
  </si>
  <si>
    <t>Electronics Factory</t>
  </si>
  <si>
    <t>Factory</t>
  </si>
  <si>
    <t>Mine</t>
  </si>
  <si>
    <t>Prospecting</t>
  </si>
  <si>
    <t>Farm</t>
  </si>
  <si>
    <t>Food Processing Plant</t>
  </si>
  <si>
    <t>Beverage Factory</t>
  </si>
  <si>
    <t>Grocery Store</t>
  </si>
  <si>
    <t>Power</t>
  </si>
  <si>
    <t>Water</t>
  </si>
  <si>
    <t>Batteries</t>
  </si>
  <si>
    <t>Chemicals</t>
  </si>
  <si>
    <t>Silicon</t>
  </si>
  <si>
    <t>Gold Ore</t>
  </si>
  <si>
    <t>Minerals</t>
  </si>
  <si>
    <t>Seeds</t>
  </si>
  <si>
    <t>Sugar</t>
  </si>
  <si>
    <t>Sugarcane</t>
  </si>
  <si>
    <t>Oranges</t>
  </si>
  <si>
    <t>Orange Juice</t>
  </si>
  <si>
    <t>Contract</t>
  </si>
  <si>
    <t>High Grade E-Comps</t>
  </si>
  <si>
    <t>Retail</t>
  </si>
  <si>
    <t>Product Name</t>
  </si>
  <si>
    <t>Realm Name</t>
  </si>
  <si>
    <t>Golden Bars</t>
  </si>
  <si>
    <t>Sand</t>
  </si>
  <si>
    <t>ExternalData_3</t>
  </si>
  <si>
    <t>ExternalData_4</t>
  </si>
  <si>
    <t>ExternalData_5</t>
  </si>
  <si>
    <t>ExternalData_6</t>
  </si>
  <si>
    <t>ExternalData_1</t>
  </si>
  <si>
    <t>product_key</t>
  </si>
  <si>
    <t>quality_level</t>
  </si>
  <si>
    <t>production_per_hour</t>
  </si>
  <si>
    <t>cost_per_hour</t>
  </si>
  <si>
    <t>consumed_per_hour</t>
  </si>
  <si>
    <t>Transport</t>
  </si>
  <si>
    <t>power</t>
  </si>
  <si>
    <t>water</t>
  </si>
  <si>
    <t>minerals</t>
  </si>
  <si>
    <t>gold ore</t>
  </si>
  <si>
    <t>silicon</t>
  </si>
  <si>
    <t>chemicals</t>
  </si>
  <si>
    <t>golden bars</t>
  </si>
  <si>
    <t>sand</t>
  </si>
  <si>
    <t>left_over_per_hour</t>
  </si>
  <si>
    <t>value_per_hour</t>
  </si>
  <si>
    <t>gross_value_per_hour</t>
  </si>
  <si>
    <t>consumed_cost_per_hour</t>
  </si>
  <si>
    <t>Clearing Plan</t>
  </si>
  <si>
    <t>Channel Name</t>
  </si>
  <si>
    <t>Allocation Fraction</t>
  </si>
  <si>
    <t>Allocation Units Per Day</t>
  </si>
  <si>
    <t>Exchange</t>
  </si>
  <si>
    <t>Installation Root</t>
  </si>
  <si>
    <t>C:\Users\dande\OneDrive\Documents\Sim Companies\simco-planner\</t>
  </si>
  <si>
    <t>Output Path</t>
  </si>
  <si>
    <t>data\runtime\output\</t>
  </si>
  <si>
    <t>company_key</t>
  </si>
  <si>
    <t>is_retail_capped</t>
  </si>
  <si>
    <t>non_retail_units_per_hour</t>
  </si>
  <si>
    <t>retail_units_per_hour</t>
  </si>
  <si>
    <t>total_units_per_hour</t>
  </si>
  <si>
    <t>net_units_per_hour</t>
  </si>
  <si>
    <t>shortage_units_per_hour</t>
  </si>
  <si>
    <t>surplus_units_per_hour</t>
  </si>
  <si>
    <t>units_consumed_per_hour</t>
  </si>
  <si>
    <t>units_produced_per_hour</t>
  </si>
  <si>
    <t>allocated_units_per_hour</t>
  </si>
  <si>
    <t>channel_key</t>
  </si>
  <si>
    <t>direction</t>
  </si>
  <si>
    <t>priority</t>
  </si>
  <si>
    <t>sink</t>
  </si>
  <si>
    <t>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</si>
</sst>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00"/>
  </numFmts>
  <fonts count="3" x14ac:knownFonts="1">
    <font>
      <sz val="11"/>
      <color theme="1"/>
      <name val="Segoe UI"/>
      <family val="2"/>
      <scheme val="minor"/>
    </font>
    <font>
      <b/>
      <sz val="11"/>
      <color theme="1"/>
      <name val="Segoe UI"/>
      <family val="2"/>
      <scheme val="minor"/>
    </font>
    <font>
      <sz val="8"/>
      <name val="Segoe U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/>
    </xf>
  </cellXfs>
  <cellStyles count="1">
    <cellStyle name="Normal" xfId="0" builtinId="0"/>
  </cellStyles>
  <dxfs count="20">
    <dxf>
      <numFmt numFmtId="0" formatCode="General"/>
    </dxf>
    <dxf>
      <numFmt numFmtId="164" formatCode="&quot;$&quot;#,##0.0000"/>
    </dxf>
    <dxf>
      <numFmt numFmtId="164" formatCode="&quot;$&quot;#,##0.0000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numFmt numFmtId="14" formatCode="0.00%"/>
    </dxf>
    <dxf>
      <font>
        <b/>
        <i val="0"/>
        <color theme="0"/>
      </font>
      <fill>
        <patternFill>
          <bgColor theme="7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8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6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color theme="2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fill>
        <patternFill patternType="solid">
          <bgColor theme="3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Input Table" pivot="0" count="2" xr9:uid="{DF00A547-8628-497C-85E4-7CB0A6C7E982}">
      <tableStyleElement type="wholeTable" dxfId="19"/>
      <tableStyleElement type="headerRow" dxfId="18"/>
    </tableStyle>
    <tableStyle name="Output Table" pivot="0" count="2" xr9:uid="{2E3CF32D-1805-447A-A85C-8F12D0D17A75}">
      <tableStyleElement type="wholeTable" dxfId="17"/>
      <tableStyleElement type="headerRow" dxfId="16"/>
    </tableStyle>
    <tableStyle name="Ref Table" pivot="0" count="2" xr9:uid="{A770A715-E574-4C04-A545-B413EE13707B}">
      <tableStyleElement type="wholeTable" dxfId="15"/>
      <tableStyleElement type="headerRow" dxfId="14"/>
    </tableStyle>
    <tableStyle name="Reference Material" pivot="0" count="2" xr9:uid="{4A411DC6-D102-4668-BF54-FAE72CB502D1}">
      <tableStyleElement type="wholeTable" dxfId="13"/>
      <tableStyleElement type="headerRow" dxfId="12"/>
    </tableStyle>
    <tableStyle name="Sys Tables" pivot="0" count="2" xr9:uid="{096D3C65-410C-4E50-A003-D708D0B3FEC5}">
      <tableStyleElement type="wholeTable" dxfId="11"/>
      <tableStyleElement type="headerRow" dxfId="10"/>
    </tableStyle>
  </tableStyles>
  <colors>
    <mruColors>
      <color rgb="FFF3A4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10/relationships/person" Target="persons/person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133350</xdr:rowOff>
    </xdr:from>
    <xdr:to>
      <xdr:col>1</xdr:col>
      <xdr:colOff>476249</xdr:colOff>
      <xdr:row>2</xdr:row>
      <xdr:rowOff>85725</xdr:rowOff>
    </xdr:to>
    <xdr:sp macro="[0]!Calcul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3CA64F-4967-4618-A357-BEEBAC44DD2E}"/>
            </a:ext>
          </a:extLst>
        </xdr:cNvPr>
        <xdr:cNvSpPr/>
      </xdr:nvSpPr>
      <xdr:spPr>
        <a:xfrm>
          <a:off x="85724" y="133350"/>
          <a:ext cx="1590675" cy="3333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08013D8A-8A0E-43E6-A87C-4985B0B0CCB1}" autoFormatId="16" applyNumberFormats="0" applyBorderFormats="0" applyFontFormats="0" applyPatternFormats="0" applyAlignmentFormats="0" applyWidthHeightFormats="0">
  <queryTableRefresh nextId="5">
    <queryTableFields count="4">
      <queryTableField id="1" name="company_key" tableColumnId="1"/>
      <queryTableField id="2" name="product_key" tableColumnId="2"/>
      <queryTableField id="3" name="quality_level" tableColumnId="3"/>
      <queryTableField id="4" name="units_produced_per_hour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1" xr16:uid="{DD315A0D-4543-4F2A-8C5D-1F14C53C8B73}" autoFormatId="16" applyNumberFormats="0" applyBorderFormats="0" applyFontFormats="0" applyPatternFormats="0" applyAlignmentFormats="0" applyWidthHeightFormats="0">
  <queryTableRefresh nextId="5">
    <queryTableFields count="4">
      <queryTableField id="1" name="company_key" tableColumnId="1"/>
      <queryTableField id="2" name="product_key" tableColumnId="2"/>
      <queryTableField id="3" name="quality_level" tableColumnId="3"/>
      <queryTableField id="4" name="units_consumed_per_hour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33D9CACD-81B5-448E-AA16-60EA845163F7}" autoFormatId="16" applyNumberFormats="0" applyBorderFormats="0" applyFontFormats="0" applyPatternFormats="0" applyAlignmentFormats="0" applyWidthHeightFormats="0">
  <queryTableRefresh nextId="9">
    <queryTableFields count="8">
      <queryTableField id="1" name="company_key" tableColumnId="1"/>
      <queryTableField id="2" name="net_units_per_hour" tableColumnId="2"/>
      <queryTableField id="3" name="product_key" tableColumnId="3"/>
      <queryTableField id="4" name="quality_level" tableColumnId="4"/>
      <queryTableField id="5" name="shortage_units_per_hour" tableColumnId="5"/>
      <queryTableField id="6" name="surplus_units_per_hour" tableColumnId="6"/>
      <queryTableField id="7" name="units_consumed_per_hour" tableColumnId="7"/>
      <queryTableField id="8" name="units_produced_per_hour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9" xr16:uid="{AB521252-C7E8-49AA-BB17-291224C74183}" autoFormatId="16" applyNumberFormats="0" applyBorderFormats="0" applyFontFormats="0" applyPatternFormats="0" applyAlignmentFormats="0" applyWidthHeightFormats="0">
  <queryTableRefresh nextId="8">
    <queryTableFields count="7">
      <queryTableField id="1" name="allocated_units_per_hour" tableColumnId="1"/>
      <queryTableField id="2" name="channel_key" tableColumnId="2"/>
      <queryTableField id="3" name="company_key" tableColumnId="3"/>
      <queryTableField id="4" name="direction" tableColumnId="4"/>
      <queryTableField id="5" name="priority" tableColumnId="5"/>
      <queryTableField id="6" name="product_key" tableColumnId="6"/>
      <queryTableField id="7" name="quality_level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4" xr16:uid="{7E83F68A-C9E0-45BE-AF3F-2DF08699B3C4}" autoFormatId="16" applyNumberFormats="0" applyBorderFormats="0" applyFontFormats="0" applyPatternFormats="0" applyAlignmentFormats="0" applyWidthHeightFormats="0">
  <queryTableRefresh nextId="8">
    <queryTableFields count="7">
      <queryTableField id="1" name="company_key" tableColumnId="1"/>
      <queryTableField id="2" name="is_retail_capped" tableColumnId="2"/>
      <queryTableField id="3" name="non_retail_units_per_hour" tableColumnId="3"/>
      <queryTableField id="4" name="product_key" tableColumnId="4"/>
      <queryTableField id="5" name="quality_level" tableColumnId="5"/>
      <queryTableField id="6" name="retail_units_per_hour" tableColumnId="6"/>
      <queryTableField id="7" name="total_units_per_hour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firstBackgroundRefresh="1" connectionId="2" xr16:uid="{BA0BE4DD-7AE1-4846-A9C9-CECB8A4EA608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firstBackgroundRefresh="1" connectionId="3" xr16:uid="{76196B7C-D08D-44A5-BB58-5DC24BFCF584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firstBackgroundRefresh="1" connectionId="5" xr16:uid="{B5A590FB-5E17-4D04-B33C-6C62A5F0E75E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firstBackgroundRefresh="1" connectionId="4" xr16:uid="{9E47289E-9543-4381-8B42-2C46CD418444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firstBackgroundRefresh="1" connectionId="1" xr16:uid="{C56E318B-2B23-46F7-9869-69FAD2C3434B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firstBackgroundRefresh="1" connectionId="6" xr16:uid="{6ABE1814-C357-4512-B883-B8AB7BE82DFD}" autoFormatId="16" applyNumberFormats="0" applyBorderFormats="0" applyFontFormats="0" applyPatternFormats="0" applyAlignmentFormats="0" applyWidthHeightFormats="0">
  <queryTableRefresh>
    <queryTableFields/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54E1B6-6669-4D88-AD8A-F964A8DB6010}" name="tblCompany" displayName="tblCompany" ref="A6:I8" totalsRowShown="0">
  <autoFilter ref="A6:I8" xr:uid="{D554E1B6-6669-4D88-AD8A-F964A8DB6010}"/>
  <tableColumns count="9">
    <tableColumn id="1" xr3:uid="{00818EAF-1984-4AB8-9E91-2D20F72E13F9}" name="Company Key"/>
    <tableColumn id="2" xr3:uid="{D622DB96-728C-4534-8CCD-E6572216DCD9}" name="Company Name"/>
    <tableColumn id="3" xr3:uid="{383C395E-EBDA-4652-B1D5-24F162C6FC80}" name="Realm Name"/>
    <tableColumn id="4" xr3:uid="{6E430B76-1C1A-494B-86B8-AE438D1D328A}" name="Company Level"/>
    <tableColumn id="5" xr3:uid="{945D1978-5410-4F78-8E24-25C8A0D1A3B4}" name="Snapshot Date"/>
    <tableColumn id="7" xr3:uid="{394D4B1D-3557-4042-82F2-79A24B25671B}" name="Production Speed %" dataDxfId="9"/>
    <tableColumn id="8" xr3:uid="{13346E22-A822-4DDB-AC42-5BDDA0D7C140}" name="Sales Speed %" dataDxfId="8"/>
    <tableColumn id="9" xr3:uid="{DC6CD4C4-F52F-4006-8272-45075FEB3A09}" name="Enabled" dataDxfId="7"/>
    <tableColumn id="10" xr3:uid="{4496101C-D894-4EAF-8768-F01E1DF4844F}" name="Notes"/>
  </tableColumns>
  <tableStyleInfo name="Input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F9AFF-147D-4298-B3B8-B068A9C1A10F}" name="tblMapStructure" displayName="tblMapStructure" ref="A20:G43" totalsRowShown="0">
  <autoFilter ref="A20:G43" xr:uid="{C6AF9AFF-147D-4298-B3B8-B068A9C1A10F}"/>
  <tableColumns count="7">
    <tableColumn id="1" xr3:uid="{5BF3C9EF-89C4-4021-8081-C69A6AAAEAC4}" name="Company Key"/>
    <tableColumn id="2" xr3:uid="{ECD1AE36-C881-4900-BD8C-D6A9A7051B03}" name="Slot"/>
    <tableColumn id="3" xr3:uid="{CE5DE0CD-B9DD-4529-AEFC-6B5E833A67E3}" name="Building Name"/>
    <tableColumn id="4" xr3:uid="{73C45B16-6925-458C-A800-670E7EACF460}" name="Building Level"/>
    <tableColumn id="5" xr3:uid="{C6491EE1-1A4D-41C2-A9CF-EC732F5DF060}" name="Robots Installed" dataDxfId="6"/>
    <tableColumn id="6" xr3:uid="{5AD26A78-376B-45F9-AD3F-E0EA1CFDD1E0}" name="Enabled" dataDxfId="5"/>
    <tableColumn id="7" xr3:uid="{9C5A7860-863B-4A0E-A46F-A46214FBF667}" name="Notes"/>
  </tableColumns>
  <tableStyleInfo name="Input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133873-A3C9-4208-BDA4-00D51B2317B0}" name="tblProductionPlan" displayName="tblProductionPlan" ref="A61:G83" totalsRowShown="0">
  <autoFilter ref="A61:G83" xr:uid="{DF133873-A3C9-4208-BDA4-00D51B2317B0}"/>
  <tableColumns count="7">
    <tableColumn id="1" xr3:uid="{AB1B9003-0D35-4F21-A373-E03850B49EF1}" name="Company Key"/>
    <tableColumn id="2" xr3:uid="{C1857FD6-6482-4D18-AC15-D555A981C3F4}" name="Slot"/>
    <tableColumn id="3" xr3:uid="{084A96BE-0555-40AE-881F-578D9D6FC238}" name="Product Name"/>
    <tableColumn id="4" xr3:uid="{C62A85A2-2591-42E6-9F1A-CCD931CAEA5B}" name="Quality Level"/>
    <tableColumn id="5" xr3:uid="{A943DBD7-9BB3-4BE7-A741-FFDE9E356570}" name="Production Split %" dataDxfId="4"/>
    <tableColumn id="6" xr3:uid="{D362487B-B768-4C2A-A7E9-5E4BB89B6DB8}" name="Enabled" dataDxfId="3"/>
    <tableColumn id="7" xr3:uid="{120B3FE1-4495-4295-A6E0-2E023EB8A6BF}" name="Notes"/>
  </tableColumns>
  <tableStyleInfo name="Input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D8913A6-1E1A-4720-8BE1-9256E8324D11}" name="tblOverrideExchangePrices" displayName="tblOverrideExchangePrices" ref="A169:D187" totalsRowShown="0">
  <autoFilter ref="A169:D187" xr:uid="{FD8913A6-1E1A-4720-8BE1-9256E8324D11}"/>
  <tableColumns count="4">
    <tableColumn id="1" xr3:uid="{34A87837-0BD4-413C-ABA8-5306503ACA49}" name="Realm Name"/>
    <tableColumn id="2" xr3:uid="{B290D4CB-8BD0-40B7-A27F-1E58981ECDE7}" name="Product Name"/>
    <tableColumn id="3" xr3:uid="{0934B66E-7E97-4025-869A-9441FF8AE437}" name="Quality Level"/>
    <tableColumn id="4" xr3:uid="{AD6A6950-B492-4065-9302-BF9C21272368}" name="Unit Price" dataDxfId="2"/>
  </tableColumns>
  <tableStyleInfo name="Input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1E29ED-1988-474E-ADBB-ECB5A535AB43}" name="tblOverrideRetailPrices" displayName="tblOverrideRetailPrices" ref="A197:D198" totalsRowShown="0">
  <autoFilter ref="A197:D198" xr:uid="{9D1E29ED-1988-474E-ADBB-ECB5A535AB43}"/>
  <tableColumns count="4">
    <tableColumn id="1" xr3:uid="{D085DD94-7041-4A41-93ED-F75AA948868A}" name="Realm Name"/>
    <tableColumn id="2" xr3:uid="{405E85AD-7315-4A42-AC7B-BB79A0A4FCDF}" name="Product Name"/>
    <tableColumn id="3" xr3:uid="{96BAD24F-68B2-4B92-B81B-151126C3CB44}" name="Quality Level"/>
    <tableColumn id="4" xr3:uid="{8B40B9B9-786F-4ACF-BCE2-8F7F44429682}" name="Unit Price" dataDxfId="1"/>
  </tableColumns>
  <tableStyleInfo name="Input 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C4ADCD-8870-4C36-B211-88BF14F185A8}" name="tblClearingPlan" displayName="tblClearingPlan" ref="A95:G114" totalsRowShown="0">
  <autoFilter ref="A95:G114" xr:uid="{6BC4ADCD-8870-4C36-B211-88BF14F185A8}"/>
  <tableColumns count="7">
    <tableColumn id="1" xr3:uid="{FB1E6A9C-5262-49F1-B914-6BB43EFCB6CA}" name="Company Key"/>
    <tableColumn id="2" xr3:uid="{6228E2FE-9DFE-45D5-8340-7D9B27296377}" name="Product Name"/>
    <tableColumn id="3" xr3:uid="{50A625D4-8B76-4102-9345-ADAE60312C9B}" name="Quality Level"/>
    <tableColumn id="9" xr3:uid="{DC29037E-3A6D-4EC8-8D61-E545252E8A5B}" name="Priority"/>
    <tableColumn id="8" xr3:uid="{304DD206-7414-4AE8-B589-BA1ECF81120C}" name="Channel Name"/>
    <tableColumn id="4" xr3:uid="{8DA8B1B3-0C49-4BD2-9CBD-41143D13C832}" name="Allocation Units Per Day"/>
    <tableColumn id="5" xr3:uid="{85049B14-F17F-4A79-B2EE-3858AEBA21B5}" name="Allocation Fraction"/>
  </tableColumns>
  <tableStyleInfo name="Input 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1F1CFD-AECC-43F6-9AAC-CBD92531C796}" name="_out_production_intent" displayName="_out_production_intent" ref="A1:D17" tableType="queryTable" totalsRowShown="0">
  <autoFilter ref="A1:D17" xr:uid="{611F1CFD-AECC-43F6-9AAC-CBD92531C796}"/>
  <tableColumns count="4">
    <tableColumn id="1" xr3:uid="{7B73DF87-BA1B-4C88-A5D7-55412DC0504E}" uniqueName="1" name="company_key" queryTableFieldId="1"/>
    <tableColumn id="2" xr3:uid="{52F33779-55F2-4B0B-ADDE-5960E64C522F}" uniqueName="2" name="product_key" queryTableFieldId="2"/>
    <tableColumn id="3" xr3:uid="{81080B15-948B-4A07-95CC-383ED3FFCE9D}" uniqueName="3" name="quality_level" queryTableFieldId="3"/>
    <tableColumn id="4" xr3:uid="{B13ACBD2-243A-4F04-9D87-92662CCB3CBE}" uniqueName="4" name="units_produced_per_hour" queryTableFieldId="4"/>
  </tableColumns>
  <tableStyleInfo name="Output 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33B665-0B3E-4DCA-8E34-3CA298178A8B}" name="_out_product_bom_consumption" displayName="_out_product_bom_consumption" ref="A1:D15" tableType="queryTable" totalsRowShown="0">
  <autoFilter ref="A1:D15" xr:uid="{8C33B665-0B3E-4DCA-8E34-3CA298178A8B}"/>
  <tableColumns count="4">
    <tableColumn id="1" xr3:uid="{8C8E0191-AB97-491A-9CD9-2D7EF277F367}" uniqueName="1" name="company_key" queryTableFieldId="1"/>
    <tableColumn id="2" xr3:uid="{56F55EAE-DE1A-4A5D-9781-4A53FA2B93CD}" uniqueName="2" name="product_key" queryTableFieldId="2"/>
    <tableColumn id="3" xr3:uid="{A2533F7B-8C1E-4700-B21D-538E7D029C23}" uniqueName="3" name="quality_level" queryTableFieldId="3"/>
    <tableColumn id="4" xr3:uid="{A1AE8AA2-FC39-4C78-A2D6-A5D8ECE6E10C}" uniqueName="4" name="units_consumed_per_hour" queryTableFieldId="4"/>
  </tableColumns>
  <tableStyleInfo name="Output 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00D389-4E92-4A3B-9E05-7AEF65561BAE}" name="_out_balance_plan" displayName="_out_balance_plan" ref="A1:H18" tableType="queryTable" totalsRowShown="0">
  <autoFilter ref="A1:H18" xr:uid="{1300D389-4E92-4A3B-9E05-7AEF65561BAE}"/>
  <tableColumns count="8">
    <tableColumn id="1" xr3:uid="{CD694EE8-0E4E-4F94-9345-A8C2B43CB088}" uniqueName="1" name="company_key" queryTableFieldId="1"/>
    <tableColumn id="2" xr3:uid="{7427E588-5B6D-4486-B600-2E65052DF902}" uniqueName="2" name="net_units_per_hour" queryTableFieldId="2"/>
    <tableColumn id="3" xr3:uid="{1D85DA38-5909-4CCF-8FE1-583DBC40D70B}" uniqueName="3" name="product_key" queryTableFieldId="3"/>
    <tableColumn id="4" xr3:uid="{C0C835D5-9574-4FA9-AE20-F8A347F7017A}" uniqueName="4" name="quality_level" queryTableFieldId="4"/>
    <tableColumn id="5" xr3:uid="{EE2639BB-DFC5-49EA-A135-1624A97D6B63}" uniqueName="5" name="shortage_units_per_hour" queryTableFieldId="5"/>
    <tableColumn id="6" xr3:uid="{7679591F-FAFF-4B20-8343-10240B9338BE}" uniqueName="6" name="surplus_units_per_hour" queryTableFieldId="6"/>
    <tableColumn id="7" xr3:uid="{87C80B83-8353-47FD-80B2-3815C046A534}" uniqueName="7" name="units_consumed_per_hour" queryTableFieldId="7"/>
    <tableColumn id="8" xr3:uid="{7821F101-BD90-4232-8240-636FB3945F84}" uniqueName="8" name="units_produced_per_hour" queryTableFieldId="8"/>
  </tableColumns>
  <tableStyleInfo name="Output 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728E40-C452-47A7-BBD7-A726D5BEB2C3}" name="_out_clearing_result" displayName="_out_clearing_result" ref="A1:G18" tableType="queryTable" totalsRowShown="0">
  <autoFilter ref="A1:G18" xr:uid="{04728E40-C452-47A7-BBD7-A726D5BEB2C3}"/>
  <tableColumns count="7">
    <tableColumn id="1" xr3:uid="{5EF46A99-A05D-4CB4-BAD9-B069B6B7F8A1}" uniqueName="1" name="allocated_units_per_hour" queryTableFieldId="1"/>
    <tableColumn id="2" xr3:uid="{CE81D9B4-8423-4A71-A899-D1DFC5FB7850}" uniqueName="2" name="channel_key" queryTableFieldId="2"/>
    <tableColumn id="3" xr3:uid="{5791FDDD-B276-47FE-878E-7A735D7E9E2D}" uniqueName="3" name="company_key" queryTableFieldId="3"/>
    <tableColumn id="4" xr3:uid="{1D503F3A-EAFB-4C9F-B853-82A1EA04253D}" uniqueName="4" name="direction" queryTableFieldId="4" dataDxfId="0"/>
    <tableColumn id="5" xr3:uid="{90237FDB-7C99-4B5C-8AB8-6C1F09B9763E}" uniqueName="5" name="priority" queryTableFieldId="5"/>
    <tableColumn id="6" xr3:uid="{C4B02CD3-AE0F-4C2D-837B-3D2259AB1E26}" uniqueName="6" name="product_key" queryTableFieldId="6"/>
    <tableColumn id="7" xr3:uid="{99A70940-FFC9-4B37-9C35-8FE8C8ACF9A9}" uniqueName="7" name="quality_level" queryTableFieldId="7"/>
  </tableColumns>
  <tableStyleInfo name="Output 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E17DF3E-5287-440B-A27E-FDA3DFDDFF33}" name="out_allocation_summary" displayName="out_allocation_summary" ref="A1:G18" tableType="queryTable" totalsRowShown="0">
  <autoFilter ref="A1:G18" xr:uid="{4E17DF3E-5287-440B-A27E-FDA3DFDDFF33}"/>
  <tableColumns count="7">
    <tableColumn id="1" xr3:uid="{1102F6B8-9954-4D5C-AD18-3BFED75176A4}" uniqueName="1" name="company_key" queryTableFieldId="1"/>
    <tableColumn id="2" xr3:uid="{EAE8025A-D2AD-4D25-AF70-210DBFC172ED}" uniqueName="2" name="is_retail_capped" queryTableFieldId="2"/>
    <tableColumn id="3" xr3:uid="{E7D5A5EC-052E-49F4-B9BB-72AD25507D44}" uniqueName="3" name="non_retail_units_per_hour" queryTableFieldId="3"/>
    <tableColumn id="4" xr3:uid="{AAF48A8B-4F4E-47D1-A916-4BB4135B0C7F}" uniqueName="4" name="product_key" queryTableFieldId="4"/>
    <tableColumn id="5" xr3:uid="{FFA5452B-04C7-4967-B42F-CC4790573792}" uniqueName="5" name="quality_level" queryTableFieldId="5"/>
    <tableColumn id="6" xr3:uid="{B74818DF-163E-4C1E-8ADE-4AE2CFA893ED}" uniqueName="6" name="retail_units_per_hour" queryTableFieldId="6"/>
    <tableColumn id="7" xr3:uid="{6EBA1416-3D6F-48A8-AA56-28F12A4F4BB4}" uniqueName="7" name="total_units_per_hour" queryTableFieldId="7"/>
  </tableColumns>
  <tableStyleInfo name="Output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olarized LIght">
      <a:dk1>
        <a:srgbClr val="073642"/>
      </a:dk1>
      <a:lt1>
        <a:srgbClr val="FDF6E3"/>
      </a:lt1>
      <a:dk2>
        <a:srgbClr val="586E75"/>
      </a:dk2>
      <a:lt2>
        <a:srgbClr val="EEE8D5"/>
      </a:lt2>
      <a:accent1>
        <a:srgbClr val="268BD2"/>
      </a:accent1>
      <a:accent2>
        <a:srgbClr val="2AA198"/>
      </a:accent2>
      <a:accent3>
        <a:srgbClr val="859900"/>
      </a:accent3>
      <a:accent4>
        <a:srgbClr val="B58900"/>
      </a:accent4>
      <a:accent5>
        <a:srgbClr val="CB4B16"/>
      </a:accent5>
      <a:accent6>
        <a:srgbClr val="DC322F"/>
      </a:accent6>
      <a:hlink>
        <a:srgbClr val="79B9E6"/>
      </a:hlink>
      <a:folHlink>
        <a:srgbClr val="A6A9DB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70489-92E2-48B3-9A01-92C8401FC980}">
  <dimension ref="A1:B2"/>
  <sheetViews>
    <sheetView showGridLines="0" workbookViewId="0">
      <selection sqref="A1:B2"/>
    </sheetView>
  </sheetViews>
  <sheetFormatPr defaultRowHeight="16.5" x14ac:dyDescent="0.3"/>
  <cols>
    <col min="1" max="1" width="14.625" bestFit="1" customWidth="1"/>
    <col min="2" max="2" width="82.875" bestFit="1" customWidth="1"/>
  </cols>
  <sheetData>
    <row r="1" spans="1:2" x14ac:dyDescent="0.3">
      <c r="A1" t="s">
        <v>81</v>
      </c>
      <c r="B1" t="s">
        <v>82</v>
      </c>
    </row>
    <row r="2" spans="1:2" x14ac:dyDescent="0.3">
      <c r="A2" t="s">
        <v>83</v>
      </c>
      <c r="B2" t="s">
        <v>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8B38-3E7A-4F67-8195-CF7ADD207375}">
  <sheetPr codeName="Sheet1"/>
  <dimension ref="A5:I198"/>
  <sheetViews>
    <sheetView showGridLines="0" tabSelected="1" topLeftCell="A37" workbookViewId="0">
      <selection activeCell="F47" sqref="F47"/>
    </sheetView>
  </sheetViews>
  <sheetFormatPr defaultRowHeight="16.5" x14ac:dyDescent="0.3"/>
  <cols>
    <col min="1" max="1" width="20.625" customWidth="1"/>
    <col min="2" max="2" width="22.375" bestFit="1" customWidth="1"/>
    <col min="3" max="3" width="21" customWidth="1"/>
    <col min="4" max="4" width="22.25" bestFit="1" customWidth="1"/>
    <col min="5" max="5" width="20.625" customWidth="1"/>
    <col min="6" max="6" width="24.75" bestFit="1" customWidth="1"/>
    <col min="7" max="7" width="25.375" customWidth="1"/>
    <col min="8" max="9" width="20.625" customWidth="1"/>
    <col min="10" max="10" width="25.875" customWidth="1"/>
    <col min="11" max="11" width="10.625" customWidth="1"/>
  </cols>
  <sheetData>
    <row r="5" spans="1:9" x14ac:dyDescent="0.3">
      <c r="A5" s="2" t="s">
        <v>15</v>
      </c>
      <c r="B5" s="1"/>
      <c r="C5" s="1"/>
    </row>
    <row r="6" spans="1:9" x14ac:dyDescent="0.3">
      <c r="A6" t="s">
        <v>5</v>
      </c>
      <c r="B6" t="s">
        <v>6</v>
      </c>
      <c r="C6" t="s">
        <v>50</v>
      </c>
      <c r="D6" t="s">
        <v>7</v>
      </c>
      <c r="E6" t="s">
        <v>8</v>
      </c>
      <c r="F6" t="s">
        <v>9</v>
      </c>
      <c r="G6" t="s">
        <v>10</v>
      </c>
      <c r="H6" t="s">
        <v>1</v>
      </c>
      <c r="I6" t="s">
        <v>0</v>
      </c>
    </row>
    <row r="7" spans="1:9" x14ac:dyDescent="0.3">
      <c r="A7">
        <v>1</v>
      </c>
      <c r="B7" t="s">
        <v>21</v>
      </c>
      <c r="C7" t="s">
        <v>22</v>
      </c>
      <c r="D7">
        <v>20</v>
      </c>
      <c r="E7" s="4">
        <v>46172.427865972226</v>
      </c>
      <c r="F7" s="5">
        <v>0.04</v>
      </c>
      <c r="G7" s="5">
        <v>0</v>
      </c>
      <c r="H7" s="3" t="b">
        <v>1</v>
      </c>
    </row>
    <row r="8" spans="1:9" x14ac:dyDescent="0.3">
      <c r="A8">
        <v>2</v>
      </c>
      <c r="B8" t="s">
        <v>21</v>
      </c>
      <c r="C8" t="s">
        <v>23</v>
      </c>
      <c r="D8">
        <v>19</v>
      </c>
      <c r="E8" s="4">
        <v>46172.427865972226</v>
      </c>
      <c r="F8" s="5">
        <v>0</v>
      </c>
      <c r="G8" s="5">
        <v>0.03</v>
      </c>
      <c r="H8" s="3" t="b">
        <v>1</v>
      </c>
    </row>
    <row r="19" spans="1:7" x14ac:dyDescent="0.3">
      <c r="A19" s="2" t="s">
        <v>16</v>
      </c>
      <c r="B19" s="1"/>
      <c r="C19" s="1"/>
    </row>
    <row r="20" spans="1:7" x14ac:dyDescent="0.3">
      <c r="A20" t="s">
        <v>5</v>
      </c>
      <c r="B20" t="s">
        <v>11</v>
      </c>
      <c r="C20" t="s">
        <v>2</v>
      </c>
      <c r="D20" t="s">
        <v>3</v>
      </c>
      <c r="E20" t="s">
        <v>12</v>
      </c>
      <c r="F20" t="s">
        <v>1</v>
      </c>
      <c r="G20" t="s">
        <v>0</v>
      </c>
    </row>
    <row r="21" spans="1:7" x14ac:dyDescent="0.3">
      <c r="A21">
        <v>1</v>
      </c>
      <c r="B21">
        <v>1</v>
      </c>
      <c r="C21" t="s">
        <v>24</v>
      </c>
      <c r="D21">
        <v>8</v>
      </c>
      <c r="E21" s="3" t="b">
        <v>0</v>
      </c>
      <c r="F21" s="3" t="b">
        <v>1</v>
      </c>
    </row>
    <row r="22" spans="1:7" x14ac:dyDescent="0.3">
      <c r="A22">
        <v>1</v>
      </c>
      <c r="B22">
        <v>2</v>
      </c>
      <c r="C22" t="s">
        <v>24</v>
      </c>
      <c r="D22">
        <v>4</v>
      </c>
      <c r="E22" s="3" t="b">
        <v>0</v>
      </c>
      <c r="F22" s="3" t="b">
        <v>1</v>
      </c>
    </row>
    <row r="23" spans="1:7" x14ac:dyDescent="0.3">
      <c r="A23">
        <v>1</v>
      </c>
      <c r="B23">
        <v>3</v>
      </c>
      <c r="C23" t="s">
        <v>24</v>
      </c>
      <c r="D23">
        <v>4</v>
      </c>
      <c r="E23" s="3" t="b">
        <v>0</v>
      </c>
      <c r="F23" s="3" t="b">
        <v>1</v>
      </c>
    </row>
    <row r="24" spans="1:7" x14ac:dyDescent="0.3">
      <c r="A24">
        <v>1</v>
      </c>
      <c r="B24">
        <v>4</v>
      </c>
      <c r="C24" t="s">
        <v>24</v>
      </c>
      <c r="D24">
        <v>2</v>
      </c>
      <c r="E24" s="3" t="b">
        <v>0</v>
      </c>
      <c r="F24" s="3" t="b">
        <v>1</v>
      </c>
    </row>
    <row r="25" spans="1:7" x14ac:dyDescent="0.3">
      <c r="A25">
        <v>1</v>
      </c>
      <c r="B25">
        <v>5</v>
      </c>
      <c r="C25" t="s">
        <v>25</v>
      </c>
      <c r="D25">
        <v>1</v>
      </c>
      <c r="E25" s="3" t="b">
        <v>0</v>
      </c>
      <c r="F25" s="3" t="b">
        <v>1</v>
      </c>
    </row>
    <row r="26" spans="1:7" x14ac:dyDescent="0.3">
      <c r="A26">
        <v>1</v>
      </c>
      <c r="B26">
        <v>6</v>
      </c>
      <c r="C26" t="s">
        <v>26</v>
      </c>
      <c r="D26">
        <v>1</v>
      </c>
      <c r="E26" s="3" t="b">
        <v>0</v>
      </c>
      <c r="F26" s="3" t="b">
        <v>1</v>
      </c>
    </row>
    <row r="27" spans="1:7" x14ac:dyDescent="0.3">
      <c r="A27">
        <v>1</v>
      </c>
      <c r="B27">
        <v>7</v>
      </c>
      <c r="C27" t="s">
        <v>26</v>
      </c>
      <c r="D27">
        <v>1</v>
      </c>
      <c r="E27" s="3" t="b">
        <v>0</v>
      </c>
      <c r="F27" s="3" t="b">
        <v>1</v>
      </c>
    </row>
    <row r="28" spans="1:7" x14ac:dyDescent="0.3">
      <c r="A28">
        <v>1</v>
      </c>
      <c r="B28">
        <v>8</v>
      </c>
      <c r="C28" t="s">
        <v>27</v>
      </c>
      <c r="D28">
        <v>1</v>
      </c>
      <c r="E28" s="3" t="b">
        <v>0</v>
      </c>
      <c r="F28" s="3" t="b">
        <v>1</v>
      </c>
    </row>
    <row r="29" spans="1:7" x14ac:dyDescent="0.3">
      <c r="A29">
        <v>1</v>
      </c>
      <c r="B29">
        <v>9</v>
      </c>
      <c r="C29" t="s">
        <v>27</v>
      </c>
      <c r="D29">
        <v>1</v>
      </c>
      <c r="E29" s="3" t="b">
        <v>0</v>
      </c>
      <c r="F29" s="3" t="b">
        <v>1</v>
      </c>
    </row>
    <row r="30" spans="1:7" x14ac:dyDescent="0.3">
      <c r="A30">
        <v>1</v>
      </c>
      <c r="B30">
        <v>10</v>
      </c>
      <c r="C30" t="s">
        <v>28</v>
      </c>
      <c r="D30">
        <v>2</v>
      </c>
      <c r="E30" s="3" t="b">
        <v>0</v>
      </c>
      <c r="F30" s="3" t="b">
        <v>1</v>
      </c>
    </row>
    <row r="31" spans="1:7" x14ac:dyDescent="0.3">
      <c r="A31">
        <v>1</v>
      </c>
      <c r="B31">
        <v>11</v>
      </c>
      <c r="C31" t="s">
        <v>28</v>
      </c>
      <c r="D31">
        <v>2</v>
      </c>
      <c r="E31" s="3" t="b">
        <v>0</v>
      </c>
      <c r="F31" s="3" t="b">
        <v>1</v>
      </c>
    </row>
    <row r="32" spans="1:7" x14ac:dyDescent="0.3">
      <c r="A32">
        <v>1</v>
      </c>
      <c r="B32">
        <v>12</v>
      </c>
      <c r="C32" t="s">
        <v>28</v>
      </c>
      <c r="D32">
        <v>2</v>
      </c>
      <c r="E32" s="3" t="b">
        <v>0</v>
      </c>
      <c r="F32" s="3" t="b">
        <v>1</v>
      </c>
    </row>
    <row r="33" spans="1:7" x14ac:dyDescent="0.3">
      <c r="A33">
        <v>1</v>
      </c>
      <c r="B33">
        <v>13</v>
      </c>
      <c r="C33" t="s">
        <v>28</v>
      </c>
      <c r="D33">
        <v>2</v>
      </c>
      <c r="E33" s="3" t="b">
        <v>0</v>
      </c>
      <c r="F33" s="3" t="b">
        <v>0</v>
      </c>
      <c r="G33" t="s">
        <v>29</v>
      </c>
    </row>
    <row r="34" spans="1:7" x14ac:dyDescent="0.3">
      <c r="A34">
        <v>2</v>
      </c>
      <c r="B34">
        <v>1</v>
      </c>
      <c r="C34" t="s">
        <v>24</v>
      </c>
      <c r="D34">
        <v>1</v>
      </c>
      <c r="E34" s="3" t="b">
        <v>0</v>
      </c>
      <c r="F34" s="3" t="b">
        <v>1</v>
      </c>
    </row>
    <row r="35" spans="1:7" x14ac:dyDescent="0.3">
      <c r="A35">
        <v>2</v>
      </c>
      <c r="B35">
        <v>2</v>
      </c>
      <c r="C35" t="s">
        <v>25</v>
      </c>
      <c r="D35">
        <v>1</v>
      </c>
      <c r="E35" s="3" t="b">
        <v>0</v>
      </c>
      <c r="F35" s="3" t="b">
        <v>1</v>
      </c>
    </row>
    <row r="36" spans="1:7" x14ac:dyDescent="0.3">
      <c r="A36">
        <v>2</v>
      </c>
      <c r="B36">
        <v>3</v>
      </c>
      <c r="C36" t="s">
        <v>30</v>
      </c>
      <c r="D36">
        <v>2</v>
      </c>
      <c r="E36" s="3" t="b">
        <v>0</v>
      </c>
      <c r="F36" s="3" t="b">
        <v>1</v>
      </c>
    </row>
    <row r="37" spans="1:7" x14ac:dyDescent="0.3">
      <c r="A37">
        <v>2</v>
      </c>
      <c r="B37">
        <v>4</v>
      </c>
      <c r="C37" t="s">
        <v>31</v>
      </c>
      <c r="D37">
        <v>2</v>
      </c>
      <c r="E37" s="3" t="b">
        <v>0</v>
      </c>
      <c r="F37" s="3" t="b">
        <v>1</v>
      </c>
    </row>
    <row r="38" spans="1:7" x14ac:dyDescent="0.3">
      <c r="A38">
        <v>2</v>
      </c>
      <c r="B38">
        <v>5</v>
      </c>
      <c r="C38" t="s">
        <v>32</v>
      </c>
      <c r="D38">
        <v>1</v>
      </c>
      <c r="E38" s="3" t="b">
        <v>0</v>
      </c>
      <c r="F38" s="3" t="b">
        <v>1</v>
      </c>
    </row>
    <row r="39" spans="1:7" x14ac:dyDescent="0.3">
      <c r="A39">
        <v>2</v>
      </c>
      <c r="B39">
        <v>6</v>
      </c>
      <c r="C39" t="s">
        <v>33</v>
      </c>
      <c r="D39">
        <v>2</v>
      </c>
      <c r="E39" s="3" t="b">
        <v>0</v>
      </c>
      <c r="F39" s="3" t="b">
        <v>1</v>
      </c>
    </row>
    <row r="40" spans="1:7" x14ac:dyDescent="0.3">
      <c r="A40">
        <v>2</v>
      </c>
      <c r="B40">
        <v>7</v>
      </c>
      <c r="C40" t="s">
        <v>33</v>
      </c>
      <c r="D40">
        <v>2</v>
      </c>
      <c r="E40" s="3" t="b">
        <v>0</v>
      </c>
      <c r="F40" s="3" t="b">
        <v>1</v>
      </c>
    </row>
    <row r="41" spans="1:7" x14ac:dyDescent="0.3">
      <c r="A41">
        <v>2</v>
      </c>
      <c r="B41">
        <v>8</v>
      </c>
      <c r="C41" t="s">
        <v>33</v>
      </c>
      <c r="D41">
        <v>2</v>
      </c>
      <c r="E41" s="3" t="b">
        <v>0</v>
      </c>
      <c r="F41" s="3" t="b">
        <v>1</v>
      </c>
    </row>
    <row r="42" spans="1:7" x14ac:dyDescent="0.3">
      <c r="A42">
        <v>2</v>
      </c>
      <c r="B42">
        <v>9</v>
      </c>
      <c r="C42" t="s">
        <v>33</v>
      </c>
      <c r="D42">
        <v>2</v>
      </c>
      <c r="E42" s="3" t="b">
        <v>0</v>
      </c>
      <c r="F42" s="3" t="b">
        <v>1</v>
      </c>
    </row>
    <row r="43" spans="1:7" x14ac:dyDescent="0.3">
      <c r="A43">
        <v>2</v>
      </c>
      <c r="B43">
        <v>10</v>
      </c>
      <c r="C43" t="s">
        <v>33</v>
      </c>
      <c r="D43">
        <v>2</v>
      </c>
      <c r="E43" s="3" t="b">
        <v>0</v>
      </c>
      <c r="F43" s="3" t="b">
        <v>1</v>
      </c>
    </row>
    <row r="60" spans="1:7" x14ac:dyDescent="0.3">
      <c r="A60" s="2" t="s">
        <v>17</v>
      </c>
      <c r="B60" s="1"/>
      <c r="C60" s="1"/>
    </row>
    <row r="61" spans="1:7" x14ac:dyDescent="0.3">
      <c r="A61" t="s">
        <v>5</v>
      </c>
      <c r="B61" t="s">
        <v>11</v>
      </c>
      <c r="C61" t="s">
        <v>49</v>
      </c>
      <c r="D61" t="s">
        <v>4</v>
      </c>
      <c r="E61" t="s">
        <v>13</v>
      </c>
      <c r="F61" t="s">
        <v>1</v>
      </c>
      <c r="G61" t="s">
        <v>0</v>
      </c>
    </row>
    <row r="62" spans="1:7" x14ac:dyDescent="0.3">
      <c r="A62">
        <v>1</v>
      </c>
      <c r="B62">
        <v>1</v>
      </c>
      <c r="C62" t="s">
        <v>34</v>
      </c>
      <c r="D62">
        <v>2</v>
      </c>
      <c r="E62" s="5">
        <v>1</v>
      </c>
      <c r="F62" s="3" t="b">
        <v>1</v>
      </c>
    </row>
    <row r="63" spans="1:7" x14ac:dyDescent="0.3">
      <c r="A63">
        <v>1</v>
      </c>
      <c r="B63">
        <v>2</v>
      </c>
      <c r="C63" t="s">
        <v>34</v>
      </c>
      <c r="D63">
        <v>2</v>
      </c>
      <c r="E63" s="5">
        <v>1</v>
      </c>
      <c r="F63" s="3" t="b">
        <v>1</v>
      </c>
    </row>
    <row r="64" spans="1:7" x14ac:dyDescent="0.3">
      <c r="A64">
        <v>1</v>
      </c>
      <c r="B64">
        <v>3</v>
      </c>
      <c r="C64" t="s">
        <v>34</v>
      </c>
      <c r="D64">
        <v>2</v>
      </c>
      <c r="E64" s="5">
        <v>1</v>
      </c>
      <c r="F64" s="3" t="b">
        <v>1</v>
      </c>
    </row>
    <row r="65" spans="1:6" x14ac:dyDescent="0.3">
      <c r="A65">
        <v>1</v>
      </c>
      <c r="B65">
        <v>4</v>
      </c>
      <c r="C65" t="s">
        <v>34</v>
      </c>
      <c r="D65">
        <v>2</v>
      </c>
      <c r="E65" s="5">
        <v>1</v>
      </c>
      <c r="F65" s="3" t="b">
        <v>1</v>
      </c>
    </row>
    <row r="66" spans="1:6" x14ac:dyDescent="0.3">
      <c r="A66">
        <v>1</v>
      </c>
      <c r="B66">
        <v>5</v>
      </c>
      <c r="C66" t="s">
        <v>35</v>
      </c>
      <c r="D66">
        <v>2</v>
      </c>
      <c r="E66" s="5">
        <v>1</v>
      </c>
      <c r="F66" s="3" t="b">
        <v>1</v>
      </c>
    </row>
    <row r="67" spans="1:6" x14ac:dyDescent="0.3">
      <c r="A67">
        <v>1</v>
      </c>
      <c r="B67">
        <v>6</v>
      </c>
      <c r="C67" s="7" t="s">
        <v>47</v>
      </c>
      <c r="D67">
        <v>2</v>
      </c>
      <c r="E67" s="5">
        <v>1</v>
      </c>
      <c r="F67" s="3" t="b">
        <v>1</v>
      </c>
    </row>
    <row r="68" spans="1:6" x14ac:dyDescent="0.3">
      <c r="A68">
        <v>1</v>
      </c>
      <c r="B68">
        <v>7</v>
      </c>
      <c r="C68" s="7" t="s">
        <v>47</v>
      </c>
      <c r="D68">
        <v>2</v>
      </c>
      <c r="E68" s="5">
        <v>0.5</v>
      </c>
      <c r="F68" s="3" t="b">
        <v>1</v>
      </c>
    </row>
    <row r="69" spans="1:6" x14ac:dyDescent="0.3">
      <c r="A69">
        <v>1</v>
      </c>
      <c r="B69">
        <v>7</v>
      </c>
      <c r="C69" t="s">
        <v>36</v>
      </c>
      <c r="D69">
        <v>2</v>
      </c>
      <c r="E69" s="5">
        <v>0.5</v>
      </c>
      <c r="F69" s="3" t="b">
        <v>1</v>
      </c>
    </row>
    <row r="70" spans="1:6" x14ac:dyDescent="0.3">
      <c r="A70">
        <v>1</v>
      </c>
      <c r="B70">
        <v>8</v>
      </c>
      <c r="C70" t="s">
        <v>51</v>
      </c>
      <c r="D70">
        <v>2</v>
      </c>
      <c r="E70" s="5">
        <v>0.1</v>
      </c>
      <c r="F70" s="3" t="b">
        <v>1</v>
      </c>
    </row>
    <row r="71" spans="1:6" x14ac:dyDescent="0.3">
      <c r="A71">
        <v>1</v>
      </c>
      <c r="B71">
        <v>8</v>
      </c>
      <c r="C71" t="s">
        <v>37</v>
      </c>
      <c r="D71">
        <v>2</v>
      </c>
      <c r="E71" s="5">
        <v>0.9</v>
      </c>
      <c r="F71" s="3" t="b">
        <v>1</v>
      </c>
    </row>
    <row r="72" spans="1:6" x14ac:dyDescent="0.3">
      <c r="A72">
        <v>1</v>
      </c>
      <c r="B72">
        <v>9</v>
      </c>
      <c r="C72" t="s">
        <v>38</v>
      </c>
      <c r="D72">
        <v>2</v>
      </c>
      <c r="E72" s="5">
        <v>0.1</v>
      </c>
      <c r="F72" s="3" t="b">
        <v>1</v>
      </c>
    </row>
    <row r="73" spans="1:6" x14ac:dyDescent="0.3">
      <c r="A73">
        <v>1</v>
      </c>
      <c r="B73">
        <v>9</v>
      </c>
      <c r="C73" t="s">
        <v>37</v>
      </c>
      <c r="D73">
        <v>2</v>
      </c>
      <c r="E73" s="5">
        <v>0.9</v>
      </c>
      <c r="F73" s="3" t="b">
        <v>1</v>
      </c>
    </row>
    <row r="74" spans="1:6" x14ac:dyDescent="0.3">
      <c r="A74">
        <v>1</v>
      </c>
      <c r="B74">
        <v>10</v>
      </c>
      <c r="C74" t="s">
        <v>39</v>
      </c>
      <c r="D74">
        <v>2</v>
      </c>
      <c r="E74" s="5">
        <v>1</v>
      </c>
      <c r="F74" s="3" t="b">
        <v>1</v>
      </c>
    </row>
    <row r="75" spans="1:6" x14ac:dyDescent="0.3">
      <c r="A75">
        <v>1</v>
      </c>
      <c r="B75">
        <v>11</v>
      </c>
      <c r="C75" t="s">
        <v>40</v>
      </c>
      <c r="D75">
        <v>2</v>
      </c>
      <c r="E75" s="5">
        <v>1</v>
      </c>
      <c r="F75" s="3" t="b">
        <v>1</v>
      </c>
    </row>
    <row r="76" spans="1:6" x14ac:dyDescent="0.3">
      <c r="A76">
        <v>1</v>
      </c>
      <c r="B76">
        <v>12</v>
      </c>
      <c r="C76" t="s">
        <v>40</v>
      </c>
      <c r="D76">
        <v>2</v>
      </c>
      <c r="E76" s="5">
        <v>1</v>
      </c>
      <c r="F76" s="3" t="b">
        <v>1</v>
      </c>
    </row>
    <row r="77" spans="1:6" x14ac:dyDescent="0.3">
      <c r="A77">
        <v>2</v>
      </c>
      <c r="B77">
        <v>1</v>
      </c>
      <c r="C77" t="s">
        <v>34</v>
      </c>
      <c r="D77">
        <v>0</v>
      </c>
      <c r="E77" s="5">
        <v>1</v>
      </c>
      <c r="F77" s="3" t="b">
        <v>1</v>
      </c>
    </row>
    <row r="78" spans="1:6" x14ac:dyDescent="0.3">
      <c r="A78">
        <v>2</v>
      </c>
      <c r="B78">
        <v>2</v>
      </c>
      <c r="C78" t="s">
        <v>35</v>
      </c>
      <c r="D78">
        <v>0</v>
      </c>
      <c r="E78" s="5">
        <v>1</v>
      </c>
      <c r="F78" s="3" t="b">
        <v>1</v>
      </c>
    </row>
    <row r="79" spans="1:6" x14ac:dyDescent="0.3">
      <c r="A79">
        <v>2</v>
      </c>
      <c r="B79">
        <v>3</v>
      </c>
      <c r="C79" t="s">
        <v>41</v>
      </c>
      <c r="D79">
        <v>0</v>
      </c>
      <c r="E79" s="5">
        <v>0.1</v>
      </c>
      <c r="F79" s="3" t="b">
        <v>1</v>
      </c>
    </row>
    <row r="80" spans="1:6" x14ac:dyDescent="0.3">
      <c r="A80">
        <v>2</v>
      </c>
      <c r="B80">
        <v>3</v>
      </c>
      <c r="C80" t="s">
        <v>43</v>
      </c>
      <c r="D80">
        <v>0</v>
      </c>
      <c r="E80" s="5">
        <v>0.1</v>
      </c>
      <c r="F80" s="3" t="b">
        <v>1</v>
      </c>
    </row>
    <row r="81" spans="1:7" x14ac:dyDescent="0.3">
      <c r="A81">
        <v>2</v>
      </c>
      <c r="B81">
        <v>3</v>
      </c>
      <c r="C81" t="s">
        <v>44</v>
      </c>
      <c r="D81">
        <v>0</v>
      </c>
      <c r="E81" s="5">
        <v>0.8</v>
      </c>
      <c r="F81" s="3" t="b">
        <v>1</v>
      </c>
    </row>
    <row r="82" spans="1:7" x14ac:dyDescent="0.3">
      <c r="A82">
        <v>2</v>
      </c>
      <c r="B82">
        <v>4</v>
      </c>
      <c r="C82" t="s">
        <v>42</v>
      </c>
      <c r="D82">
        <v>0</v>
      </c>
      <c r="E82" s="5">
        <v>1</v>
      </c>
      <c r="F82" s="3" t="b">
        <v>1</v>
      </c>
    </row>
    <row r="83" spans="1:7" x14ac:dyDescent="0.3">
      <c r="A83">
        <v>2</v>
      </c>
      <c r="B83">
        <v>5</v>
      </c>
      <c r="C83" t="s">
        <v>45</v>
      </c>
      <c r="D83">
        <v>0</v>
      </c>
      <c r="E83" s="5">
        <v>1</v>
      </c>
      <c r="F83" s="3" t="b">
        <v>1</v>
      </c>
    </row>
    <row r="94" spans="1:7" x14ac:dyDescent="0.3">
      <c r="A94" s="2" t="s">
        <v>76</v>
      </c>
      <c r="B94" s="1"/>
      <c r="C94" s="1"/>
    </row>
    <row r="95" spans="1:7" x14ac:dyDescent="0.3">
      <c r="A95" t="s">
        <v>5</v>
      </c>
      <c r="B95" t="s">
        <v>49</v>
      </c>
      <c r="C95" t="s">
        <v>4</v>
      </c>
      <c r="D95" t="s">
        <v>14</v>
      </c>
      <c r="E95" t="s">
        <v>77</v>
      </c>
      <c r="F95" t="s">
        <v>79</v>
      </c>
      <c r="G95" t="s">
        <v>78</v>
      </c>
    </row>
    <row r="96" spans="1:7" x14ac:dyDescent="0.3">
      <c r="A96">
        <v>1</v>
      </c>
      <c r="B96" t="s">
        <v>34</v>
      </c>
      <c r="C96">
        <v>2</v>
      </c>
      <c r="D96">
        <v>1</v>
      </c>
      <c r="E96" t="s">
        <v>46</v>
      </c>
      <c r="F96">
        <v>500000</v>
      </c>
    </row>
    <row r="97" spans="1:7" x14ac:dyDescent="0.3">
      <c r="A97">
        <v>1</v>
      </c>
      <c r="B97" t="s">
        <v>34</v>
      </c>
      <c r="C97">
        <v>2</v>
      </c>
      <c r="D97">
        <v>2</v>
      </c>
      <c r="E97" t="s">
        <v>80</v>
      </c>
      <c r="G97">
        <v>1</v>
      </c>
    </row>
    <row r="98" spans="1:7" x14ac:dyDescent="0.3">
      <c r="A98">
        <v>1</v>
      </c>
      <c r="B98" t="s">
        <v>35</v>
      </c>
      <c r="C98">
        <v>2</v>
      </c>
      <c r="D98">
        <v>1</v>
      </c>
      <c r="E98" t="s">
        <v>46</v>
      </c>
      <c r="G98">
        <v>1</v>
      </c>
    </row>
    <row r="99" spans="1:7" x14ac:dyDescent="0.3">
      <c r="A99">
        <v>1</v>
      </c>
      <c r="B99" t="s">
        <v>52</v>
      </c>
      <c r="C99">
        <v>2</v>
      </c>
      <c r="D99">
        <v>1</v>
      </c>
      <c r="E99" t="s">
        <v>46</v>
      </c>
      <c r="G99">
        <v>1</v>
      </c>
    </row>
    <row r="100" spans="1:7" x14ac:dyDescent="0.3">
      <c r="A100">
        <v>1</v>
      </c>
      <c r="B100" t="s">
        <v>38</v>
      </c>
      <c r="C100">
        <v>2</v>
      </c>
      <c r="D100">
        <v>1</v>
      </c>
      <c r="E100" t="s">
        <v>46</v>
      </c>
      <c r="G100">
        <v>1</v>
      </c>
    </row>
    <row r="101" spans="1:7" x14ac:dyDescent="0.3">
      <c r="A101">
        <v>1</v>
      </c>
      <c r="B101" t="s">
        <v>40</v>
      </c>
      <c r="C101">
        <v>2</v>
      </c>
      <c r="D101">
        <v>1</v>
      </c>
      <c r="E101" t="s">
        <v>46</v>
      </c>
      <c r="G101">
        <v>1</v>
      </c>
    </row>
    <row r="102" spans="1:7" x14ac:dyDescent="0.3">
      <c r="A102">
        <v>1</v>
      </c>
      <c r="B102" t="s">
        <v>37</v>
      </c>
      <c r="C102">
        <v>2</v>
      </c>
      <c r="D102">
        <v>1</v>
      </c>
      <c r="E102" t="s">
        <v>46</v>
      </c>
      <c r="G102">
        <v>1</v>
      </c>
    </row>
    <row r="103" spans="1:7" x14ac:dyDescent="0.3">
      <c r="A103">
        <v>1</v>
      </c>
      <c r="B103" t="s">
        <v>39</v>
      </c>
      <c r="C103">
        <v>2</v>
      </c>
      <c r="D103">
        <v>1</v>
      </c>
      <c r="E103" t="s">
        <v>46</v>
      </c>
      <c r="G103">
        <v>1</v>
      </c>
    </row>
    <row r="104" spans="1:7" x14ac:dyDescent="0.3">
      <c r="A104">
        <v>1</v>
      </c>
      <c r="B104" t="s">
        <v>51</v>
      </c>
      <c r="C104">
        <v>2</v>
      </c>
      <c r="D104">
        <v>1</v>
      </c>
      <c r="E104" t="s">
        <v>46</v>
      </c>
      <c r="G104">
        <v>1</v>
      </c>
    </row>
    <row r="105" spans="1:7" x14ac:dyDescent="0.3">
      <c r="A105">
        <v>1</v>
      </c>
      <c r="B105" t="s">
        <v>36</v>
      </c>
      <c r="C105">
        <v>2</v>
      </c>
      <c r="D105">
        <v>1</v>
      </c>
      <c r="E105" t="s">
        <v>46</v>
      </c>
      <c r="G105">
        <v>1</v>
      </c>
    </row>
    <row r="106" spans="1:7" x14ac:dyDescent="0.3">
      <c r="A106">
        <v>1</v>
      </c>
      <c r="B106" t="s">
        <v>47</v>
      </c>
      <c r="C106">
        <v>2</v>
      </c>
      <c r="D106">
        <v>1</v>
      </c>
      <c r="E106" t="s">
        <v>46</v>
      </c>
      <c r="G106">
        <v>1</v>
      </c>
    </row>
    <row r="107" spans="1:7" x14ac:dyDescent="0.3">
      <c r="A107">
        <v>2</v>
      </c>
      <c r="B107" t="s">
        <v>34</v>
      </c>
      <c r="C107">
        <v>0</v>
      </c>
      <c r="D107">
        <v>1</v>
      </c>
      <c r="E107" t="s">
        <v>46</v>
      </c>
      <c r="G107">
        <v>1</v>
      </c>
    </row>
    <row r="108" spans="1:7" x14ac:dyDescent="0.3">
      <c r="A108">
        <v>2</v>
      </c>
      <c r="B108" t="s">
        <v>35</v>
      </c>
      <c r="C108">
        <v>0</v>
      </c>
      <c r="D108">
        <v>1</v>
      </c>
      <c r="E108" t="s">
        <v>46</v>
      </c>
      <c r="G108">
        <v>1</v>
      </c>
    </row>
    <row r="109" spans="1:7" x14ac:dyDescent="0.3">
      <c r="A109">
        <v>2</v>
      </c>
      <c r="B109" t="s">
        <v>41</v>
      </c>
      <c r="C109">
        <v>0</v>
      </c>
      <c r="D109">
        <v>1</v>
      </c>
      <c r="E109" t="s">
        <v>46</v>
      </c>
      <c r="G109">
        <v>1</v>
      </c>
    </row>
    <row r="110" spans="1:7" x14ac:dyDescent="0.3">
      <c r="A110">
        <v>2</v>
      </c>
      <c r="B110" t="s">
        <v>43</v>
      </c>
      <c r="C110">
        <v>0</v>
      </c>
      <c r="D110">
        <v>1</v>
      </c>
      <c r="E110" t="s">
        <v>46</v>
      </c>
      <c r="G110">
        <v>1</v>
      </c>
    </row>
    <row r="111" spans="1:7" x14ac:dyDescent="0.3">
      <c r="A111">
        <v>2</v>
      </c>
      <c r="B111" t="s">
        <v>44</v>
      </c>
      <c r="C111">
        <v>0</v>
      </c>
      <c r="D111">
        <v>1</v>
      </c>
      <c r="E111" t="s">
        <v>46</v>
      </c>
      <c r="G111">
        <v>1</v>
      </c>
    </row>
    <row r="112" spans="1:7" x14ac:dyDescent="0.3">
      <c r="A112">
        <v>2</v>
      </c>
      <c r="B112" t="s">
        <v>42</v>
      </c>
      <c r="C112">
        <v>0</v>
      </c>
      <c r="D112">
        <v>1</v>
      </c>
      <c r="E112" t="s">
        <v>46</v>
      </c>
      <c r="G112">
        <v>1</v>
      </c>
    </row>
    <row r="113" spans="1:7" x14ac:dyDescent="0.3">
      <c r="A113">
        <v>2</v>
      </c>
      <c r="B113" t="s">
        <v>45</v>
      </c>
      <c r="C113">
        <v>0</v>
      </c>
      <c r="D113">
        <v>1</v>
      </c>
      <c r="E113" t="s">
        <v>48</v>
      </c>
      <c r="G113">
        <v>1</v>
      </c>
    </row>
    <row r="114" spans="1:7" x14ac:dyDescent="0.3">
      <c r="A114">
        <v>2</v>
      </c>
      <c r="B114" t="s">
        <v>45</v>
      </c>
      <c r="C114">
        <v>0</v>
      </c>
      <c r="D114">
        <v>2</v>
      </c>
      <c r="E114" t="s">
        <v>46</v>
      </c>
      <c r="G114">
        <v>1</v>
      </c>
    </row>
    <row r="135" spans="1:3" x14ac:dyDescent="0.3">
      <c r="A135" s="2"/>
      <c r="B135" s="1"/>
      <c r="C135" s="1"/>
    </row>
    <row r="168" spans="1:4" x14ac:dyDescent="0.3">
      <c r="A168" s="2" t="s">
        <v>18</v>
      </c>
      <c r="B168" s="1"/>
      <c r="C168" s="1"/>
    </row>
    <row r="169" spans="1:4" x14ac:dyDescent="0.3">
      <c r="A169" t="s">
        <v>50</v>
      </c>
      <c r="B169" t="s">
        <v>49</v>
      </c>
      <c r="C169" t="s">
        <v>4</v>
      </c>
      <c r="D169" t="s">
        <v>19</v>
      </c>
    </row>
    <row r="170" spans="1:4" x14ac:dyDescent="0.3">
      <c r="A170" t="s">
        <v>22</v>
      </c>
      <c r="B170" t="s">
        <v>34</v>
      </c>
      <c r="C170">
        <v>2</v>
      </c>
      <c r="D170" s="6">
        <v>0.26</v>
      </c>
    </row>
    <row r="171" spans="1:4" x14ac:dyDescent="0.3">
      <c r="A171" t="s">
        <v>22</v>
      </c>
      <c r="B171" t="s">
        <v>35</v>
      </c>
      <c r="C171">
        <v>2</v>
      </c>
      <c r="D171" s="6">
        <v>0.38</v>
      </c>
    </row>
    <row r="172" spans="1:4" x14ac:dyDescent="0.3">
      <c r="A172" t="s">
        <v>22</v>
      </c>
      <c r="B172" t="s">
        <v>39</v>
      </c>
      <c r="C172">
        <v>2</v>
      </c>
      <c r="D172" s="6">
        <v>31.25</v>
      </c>
    </row>
    <row r="173" spans="1:4" x14ac:dyDescent="0.3">
      <c r="A173" t="s">
        <v>22</v>
      </c>
      <c r="B173" t="s">
        <v>51</v>
      </c>
      <c r="C173">
        <v>2</v>
      </c>
      <c r="D173" s="6">
        <v>6500</v>
      </c>
    </row>
    <row r="174" spans="1:4" x14ac:dyDescent="0.3">
      <c r="A174" t="s">
        <v>22</v>
      </c>
      <c r="B174" t="s">
        <v>40</v>
      </c>
      <c r="C174">
        <v>2</v>
      </c>
      <c r="D174" s="6">
        <v>11</v>
      </c>
    </row>
    <row r="175" spans="1:4" x14ac:dyDescent="0.3">
      <c r="A175" t="s">
        <v>22</v>
      </c>
      <c r="B175" t="s">
        <v>37</v>
      </c>
      <c r="C175">
        <v>2</v>
      </c>
      <c r="D175" s="6">
        <v>14.5</v>
      </c>
    </row>
    <row r="176" spans="1:4" x14ac:dyDescent="0.3">
      <c r="A176" t="s">
        <v>22</v>
      </c>
      <c r="B176" t="s">
        <v>52</v>
      </c>
      <c r="C176">
        <v>2</v>
      </c>
      <c r="D176" s="6">
        <v>1.33</v>
      </c>
    </row>
    <row r="177" spans="1:4" x14ac:dyDescent="0.3">
      <c r="A177" t="s">
        <v>22</v>
      </c>
      <c r="B177" t="s">
        <v>38</v>
      </c>
      <c r="C177">
        <v>2</v>
      </c>
      <c r="D177" s="6">
        <v>8.4</v>
      </c>
    </row>
    <row r="178" spans="1:4" x14ac:dyDescent="0.3">
      <c r="A178" t="s">
        <v>22</v>
      </c>
      <c r="B178" t="s">
        <v>36</v>
      </c>
      <c r="C178">
        <v>2</v>
      </c>
      <c r="D178" s="6">
        <v>87.5</v>
      </c>
    </row>
    <row r="179" spans="1:4" x14ac:dyDescent="0.3">
      <c r="A179" t="s">
        <v>22</v>
      </c>
      <c r="B179" t="s">
        <v>47</v>
      </c>
      <c r="C179">
        <v>2</v>
      </c>
      <c r="D179" s="6">
        <v>895</v>
      </c>
    </row>
    <row r="180" spans="1:4" x14ac:dyDescent="0.3">
      <c r="A180" t="s">
        <v>23</v>
      </c>
      <c r="B180" t="s">
        <v>34</v>
      </c>
      <c r="C180">
        <v>0</v>
      </c>
      <c r="D180" s="6">
        <v>0.24</v>
      </c>
    </row>
    <row r="181" spans="1:4" x14ac:dyDescent="0.3">
      <c r="A181" t="s">
        <v>23</v>
      </c>
      <c r="B181" t="s">
        <v>35</v>
      </c>
      <c r="C181">
        <v>0</v>
      </c>
      <c r="D181" s="6">
        <v>0.34</v>
      </c>
    </row>
    <row r="182" spans="1:4" x14ac:dyDescent="0.3">
      <c r="A182" t="s">
        <v>23</v>
      </c>
      <c r="B182" t="s">
        <v>41</v>
      </c>
      <c r="C182">
        <v>0</v>
      </c>
      <c r="D182" s="6">
        <v>0.23899999999999999</v>
      </c>
    </row>
    <row r="183" spans="1:4" x14ac:dyDescent="0.3">
      <c r="A183" t="s">
        <v>23</v>
      </c>
      <c r="B183" t="s">
        <v>43</v>
      </c>
      <c r="C183">
        <v>0</v>
      </c>
      <c r="D183" s="6">
        <v>1.57</v>
      </c>
    </row>
    <row r="184" spans="1:4" x14ac:dyDescent="0.3">
      <c r="A184" t="s">
        <v>23</v>
      </c>
      <c r="B184" t="s">
        <v>44</v>
      </c>
      <c r="C184">
        <v>0</v>
      </c>
      <c r="D184" s="6">
        <v>2.2999999999999998</v>
      </c>
    </row>
    <row r="185" spans="1:4" x14ac:dyDescent="0.3">
      <c r="A185" t="s">
        <v>23</v>
      </c>
      <c r="B185" t="s">
        <v>42</v>
      </c>
      <c r="C185">
        <v>0</v>
      </c>
      <c r="D185" s="6">
        <v>19.2</v>
      </c>
    </row>
    <row r="186" spans="1:4" x14ac:dyDescent="0.3">
      <c r="A186" t="s">
        <v>23</v>
      </c>
      <c r="B186" t="s">
        <v>45</v>
      </c>
      <c r="C186">
        <v>0</v>
      </c>
      <c r="D186" s="6">
        <v>34</v>
      </c>
    </row>
    <row r="187" spans="1:4" x14ac:dyDescent="0.3">
      <c r="A187" t="s">
        <v>23</v>
      </c>
      <c r="B187" t="s">
        <v>63</v>
      </c>
      <c r="C187">
        <v>0</v>
      </c>
      <c r="D187" s="6">
        <v>0.35399999999999998</v>
      </c>
    </row>
    <row r="188" spans="1:4" x14ac:dyDescent="0.3">
      <c r="D188" s="6"/>
    </row>
    <row r="189" spans="1:4" x14ac:dyDescent="0.3">
      <c r="D189" s="6"/>
    </row>
    <row r="190" spans="1:4" x14ac:dyDescent="0.3">
      <c r="D190" s="6"/>
    </row>
    <row r="191" spans="1:4" x14ac:dyDescent="0.3">
      <c r="D191" s="6"/>
    </row>
    <row r="192" spans="1:4" x14ac:dyDescent="0.3">
      <c r="D192" s="6"/>
    </row>
    <row r="193" spans="1:4" x14ac:dyDescent="0.3">
      <c r="D193" s="6"/>
    </row>
    <row r="196" spans="1:4" x14ac:dyDescent="0.3">
      <c r="A196" s="2" t="s">
        <v>20</v>
      </c>
      <c r="B196" s="1"/>
      <c r="C196" s="1"/>
    </row>
    <row r="197" spans="1:4" x14ac:dyDescent="0.3">
      <c r="A197" t="s">
        <v>50</v>
      </c>
      <c r="B197" t="s">
        <v>49</v>
      </c>
      <c r="C197" t="s">
        <v>4</v>
      </c>
      <c r="D197" t="s">
        <v>19</v>
      </c>
    </row>
    <row r="198" spans="1:4" x14ac:dyDescent="0.3">
      <c r="A198" t="s">
        <v>23</v>
      </c>
      <c r="B198" t="s">
        <v>45</v>
      </c>
      <c r="C198">
        <v>0</v>
      </c>
      <c r="D198" s="6">
        <v>59.38</v>
      </c>
    </row>
  </sheetData>
  <phoneticPr fontId="2" type="noConversion"/>
  <dataValidations count="9">
    <dataValidation type="whole" operator="greaterThan" allowBlank="1" showInputMessage="1" showErrorMessage="1" prompt="Positive Integer" sqref="A7:A8 D7:D8 D21:D43" xr:uid="{99DA1997-5977-4E70-8A4D-DD9EC087DDFF}">
      <formula1>0</formula1>
    </dataValidation>
    <dataValidation type="decimal" allowBlank="1" showInputMessage="1" showErrorMessage="1" prompt="Percentage greater than 0" sqref="E62:E83" xr:uid="{B98F4738-E572-4B34-A9FE-9BE4A566A415}">
      <formula1>0.001</formula1>
      <formula2>100</formula2>
    </dataValidation>
    <dataValidation type="whole" allowBlank="1" showInputMessage="1" showErrorMessage="1" prompt="Positive Integer between 1 and 18" sqref="B21:B43 B62:B83" xr:uid="{3CB2E9DA-3EA1-4020-BBD0-58992A39C12A}">
      <formula1>1</formula1>
      <formula2>18</formula2>
    </dataValidation>
    <dataValidation type="whole" operator="greaterThan" allowBlank="1" showInputMessage="1" showErrorMessage="1" prompt="Positive integer" sqref="A62:A83 A21:A43 A98:A114 A96" xr:uid="{72F5AC10-979A-4743-915B-77064C050564}">
      <formula1>0</formula1>
    </dataValidation>
    <dataValidation type="decimal" allowBlank="1" showInputMessage="1" showErrorMessage="1" prompt="Percentage" sqref="F7:G8" xr:uid="{4C66BACB-D55E-4F4F-A175-10AB8AF71C64}">
      <formula1>0</formula1>
      <formula2>100</formula2>
    </dataValidation>
    <dataValidation type="whole" operator="greaterThanOrEqual" allowBlank="1" showInputMessage="1" showErrorMessage="1" prompt="Non-negative Integer" sqref="C198 C170:C193 D62:D83 C98:D114 C96:D96" xr:uid="{8A7F0B46-EC6F-4348-9CD0-1A4A6AB9B057}">
      <formula1>0</formula1>
    </dataValidation>
    <dataValidation type="decimal" allowBlank="1" showInputMessage="1" showErrorMessage="1" prompt="Fraction between 0 and 1" sqref="G96:G114" xr:uid="{2324CA6B-0315-46E7-95ED-B4EFF83F586D}">
      <formula1>0</formula1>
      <formula2>1</formula2>
    </dataValidation>
    <dataValidation type="whole" operator="greaterThanOrEqual" allowBlank="1" showInputMessage="1" showErrorMessage="1" prompt="Non-negative number" sqref="F96:F114" xr:uid="{699F147C-A98A-4CDA-BC05-72AD964C4511}">
      <formula1>0</formula1>
    </dataValidation>
    <dataValidation operator="greaterThanOrEqual" allowBlank="1" showErrorMessage="1" sqref="E96 E98:E114" xr:uid="{5C010170-0364-478E-8903-FBBE33DE358F}"/>
  </dataValidation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6348-404A-4E9D-9796-6469C2857CAC}">
  <sheetPr codeName="Sheet2"/>
  <dimension ref="A3:X11"/>
  <sheetViews>
    <sheetView showGridLines="0" workbookViewId="0">
      <selection activeCell="B12" sqref="B12"/>
    </sheetView>
  </sheetViews>
  <sheetFormatPr defaultRowHeight="16.5" x14ac:dyDescent="0.3"/>
  <cols>
    <col min="1" max="1" width="12.75" bestFit="1" customWidth="1"/>
    <col min="2" max="2" width="11.5" bestFit="1" customWidth="1"/>
    <col min="3" max="3" width="18.25" bestFit="1" customWidth="1"/>
    <col min="4" max="4" width="12.25" bestFit="1" customWidth="1"/>
    <col min="5" max="5" width="15.5" bestFit="1" customWidth="1"/>
    <col min="6" max="6" width="18.875" bestFit="1" customWidth="1"/>
    <col min="7" max="7" width="17.625" bestFit="1" customWidth="1"/>
    <col min="8" max="8" width="21.875" bestFit="1" customWidth="1"/>
    <col min="9" max="14" width="17.625" customWidth="1"/>
  </cols>
  <sheetData>
    <row r="3" spans="1:24" x14ac:dyDescent="0.3">
      <c r="A3" t="s">
        <v>58</v>
      </c>
      <c r="B3" t="s">
        <v>59</v>
      </c>
      <c r="C3" t="s">
        <v>60</v>
      </c>
      <c r="D3" t="s">
        <v>61</v>
      </c>
      <c r="E3" t="s">
        <v>73</v>
      </c>
      <c r="F3" t="s">
        <v>74</v>
      </c>
      <c r="G3" t="s">
        <v>62</v>
      </c>
      <c r="H3" t="s">
        <v>75</v>
      </c>
      <c r="I3" t="s">
        <v>72</v>
      </c>
      <c r="Q3" t="s">
        <v>64</v>
      </c>
      <c r="R3" t="s">
        <v>65</v>
      </c>
      <c r="S3" t="s">
        <v>71</v>
      </c>
      <c r="T3" t="s">
        <v>66</v>
      </c>
      <c r="U3" t="s">
        <v>67</v>
      </c>
      <c r="V3" t="s">
        <v>68</v>
      </c>
      <c r="W3" t="s">
        <v>69</v>
      </c>
      <c r="X3" t="s">
        <v>70</v>
      </c>
    </row>
    <row r="4" spans="1:24" x14ac:dyDescent="0.3">
      <c r="A4" t="s">
        <v>34</v>
      </c>
      <c r="B4">
        <v>2</v>
      </c>
      <c r="C4">
        <v>48130.21</v>
      </c>
      <c r="D4">
        <f>0.15*C4</f>
        <v>7219.5315000000001</v>
      </c>
      <c r="E4">
        <f>Inputs!D170*C4*0.96</f>
        <v>12013.300416</v>
      </c>
      <c r="F4">
        <f t="shared" ref="F4:F11" si="0">E4-D4</f>
        <v>4793.768916</v>
      </c>
      <c r="G4">
        <f>SUM(Q4:Q11)</f>
        <v>22751.62</v>
      </c>
      <c r="I4">
        <f>C4-G4</f>
        <v>25378.59</v>
      </c>
    </row>
    <row r="5" spans="1:24" x14ac:dyDescent="0.3">
      <c r="A5" t="s">
        <v>35</v>
      </c>
      <c r="B5">
        <v>2</v>
      </c>
      <c r="C5">
        <v>1694.2</v>
      </c>
      <c r="D5">
        <f>C5*0.2</f>
        <v>338.84000000000003</v>
      </c>
      <c r="E5">
        <f>Inputs!D171*C5*0.96</f>
        <v>618.04416000000003</v>
      </c>
      <c r="F5">
        <f t="shared" si="0"/>
        <v>279.20416</v>
      </c>
      <c r="G5">
        <f>SUM(R4:R11)</f>
        <v>645.37</v>
      </c>
      <c r="I5">
        <f t="shared" ref="I5:I11" si="1">C5-G5</f>
        <v>1048.83</v>
      </c>
      <c r="Q5">
        <f>0.2*C5</f>
        <v>338.84000000000003</v>
      </c>
    </row>
    <row r="6" spans="1:24" x14ac:dyDescent="0.3">
      <c r="A6" t="s">
        <v>39</v>
      </c>
      <c r="B6">
        <v>2</v>
      </c>
      <c r="C6">
        <v>104.09</v>
      </c>
      <c r="D6">
        <f>5.3*C6</f>
        <v>551.67700000000002</v>
      </c>
      <c r="E6">
        <f>Inputs!D172*C6*0.96-Inputs!D187*10*Output!C6</f>
        <v>2754.2213999999999</v>
      </c>
      <c r="F6">
        <f t="shared" si="0"/>
        <v>2202.5443999999998</v>
      </c>
      <c r="G6">
        <f>SUM(U4:U11)</f>
        <v>24956</v>
      </c>
      <c r="I6">
        <f t="shared" si="1"/>
        <v>-24851.91</v>
      </c>
      <c r="Q6">
        <f>80*C6</f>
        <v>8327.2000000000007</v>
      </c>
      <c r="R6">
        <f>2*C6</f>
        <v>208.18</v>
      </c>
    </row>
    <row r="7" spans="1:24" x14ac:dyDescent="0.3">
      <c r="A7" t="s">
        <v>40</v>
      </c>
      <c r="B7">
        <v>2</v>
      </c>
      <c r="C7">
        <v>437.19</v>
      </c>
      <c r="D7">
        <f>2.53*C7</f>
        <v>1106.0907</v>
      </c>
      <c r="E7">
        <f>Inputs!D174*C7*0.96-Inputs!D187*C7</f>
        <v>4461.9611399999994</v>
      </c>
      <c r="F7">
        <f t="shared" si="0"/>
        <v>3355.8704399999997</v>
      </c>
      <c r="G7">
        <f>SUM(T4:T11)</f>
        <v>148.54999999999998</v>
      </c>
      <c r="I7">
        <f t="shared" si="1"/>
        <v>288.64</v>
      </c>
      <c r="Q7">
        <f>20*C7</f>
        <v>8743.7999999999993</v>
      </c>
      <c r="R7">
        <f>C7</f>
        <v>437.19</v>
      </c>
    </row>
    <row r="8" spans="1:24" x14ac:dyDescent="0.3">
      <c r="A8" t="s">
        <v>38</v>
      </c>
      <c r="B8">
        <v>2</v>
      </c>
      <c r="C8">
        <f>320.87/3</f>
        <v>106.95666666666666</v>
      </c>
      <c r="D8">
        <f>2.58*C8</f>
        <v>275.94819999999999</v>
      </c>
      <c r="E8">
        <f>Inputs!D177*C8*0.96-Inputs!D187*C8</f>
        <v>824.63589999999999</v>
      </c>
      <c r="F8">
        <f t="shared" si="0"/>
        <v>548.68769999999995</v>
      </c>
      <c r="G8">
        <f>SUM(V4:V11)</f>
        <v>15.32</v>
      </c>
      <c r="I8">
        <f t="shared" si="1"/>
        <v>91.636666666666656</v>
      </c>
      <c r="Q8">
        <f>3*C8</f>
        <v>320.87</v>
      </c>
      <c r="S8">
        <f>2*C8</f>
        <v>213.91333333333333</v>
      </c>
    </row>
    <row r="9" spans="1:24" x14ac:dyDescent="0.3">
      <c r="A9" t="s">
        <v>37</v>
      </c>
      <c r="B9">
        <v>2</v>
      </c>
      <c r="C9">
        <f>445.65/3</f>
        <v>148.54999999999998</v>
      </c>
      <c r="D9">
        <f>1.86*C9</f>
        <v>276.303</v>
      </c>
      <c r="E9">
        <f>Inputs!D175*C9*0.96-C9*Inputs!D187</f>
        <v>2015.2292999999997</v>
      </c>
      <c r="F9">
        <f t="shared" si="0"/>
        <v>1738.9262999999996</v>
      </c>
      <c r="G9">
        <f>SUM(W4:W11)</f>
        <v>11.49</v>
      </c>
      <c r="I9">
        <f t="shared" si="1"/>
        <v>137.05999999999997</v>
      </c>
      <c r="Q9">
        <f>0.2*C9</f>
        <v>29.709999999999997</v>
      </c>
      <c r="T9">
        <f>C9</f>
        <v>148.54999999999998</v>
      </c>
    </row>
    <row r="10" spans="1:24" x14ac:dyDescent="0.3">
      <c r="A10" t="s">
        <v>51</v>
      </c>
      <c r="B10">
        <v>2</v>
      </c>
      <c r="C10">
        <f>124.78</f>
        <v>124.78</v>
      </c>
      <c r="D10">
        <f>13.27*C10</f>
        <v>1655.8306</v>
      </c>
      <c r="E10">
        <f>Inputs!D173*C10*0.96-1000*C10*Inputs!D187</f>
        <v>734455.08</v>
      </c>
      <c r="F10">
        <f t="shared" si="0"/>
        <v>732799.24939999997</v>
      </c>
      <c r="G10">
        <f>SUM(X4:X11)</f>
        <v>0.239375</v>
      </c>
      <c r="I10">
        <f t="shared" si="1"/>
        <v>124.54062500000001</v>
      </c>
      <c r="Q10">
        <f>40*C10</f>
        <v>4991.2</v>
      </c>
      <c r="U10">
        <f>200*C10</f>
        <v>24956</v>
      </c>
    </row>
    <row r="11" spans="1:24" x14ac:dyDescent="0.3">
      <c r="A11" t="s">
        <v>47</v>
      </c>
      <c r="B11">
        <v>2</v>
      </c>
      <c r="C11">
        <v>3.83</v>
      </c>
      <c r="D11">
        <f>C11*198.35</f>
        <v>759.68049999999994</v>
      </c>
      <c r="E11">
        <f>Inputs!D179*C11*0.96-Inputs!D187*C11</f>
        <v>3289.3801799999997</v>
      </c>
      <c r="F11">
        <f t="shared" si="0"/>
        <v>2529.6996799999997</v>
      </c>
      <c r="I11">
        <f t="shared" si="1"/>
        <v>3.83</v>
      </c>
      <c r="V11">
        <f>4*C11</f>
        <v>15.32</v>
      </c>
      <c r="W11">
        <f>3*C11</f>
        <v>11.49</v>
      </c>
      <c r="X11">
        <f>C11/16</f>
        <v>0.239375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A60F-C907-4D80-B084-CF98FE47725B}">
  <dimension ref="A1:D17"/>
  <sheetViews>
    <sheetView showGridLines="0" workbookViewId="0">
      <selection sqref="A1:D17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25.375" bestFit="1" customWidth="1"/>
  </cols>
  <sheetData>
    <row r="1" spans="1:4" x14ac:dyDescent="0.3">
      <c r="A1" t="s">
        <v>85</v>
      </c>
      <c r="B1" t="s">
        <v>58</v>
      </c>
      <c r="C1" t="s">
        <v>59</v>
      </c>
      <c r="D1" t="s">
        <v>94</v>
      </c>
    </row>
    <row r="2" spans="1:4" x14ac:dyDescent="0.3">
      <c r="A2">
        <v>1</v>
      </c>
      <c r="B2">
        <v>10</v>
      </c>
      <c r="C2">
        <v>2</v>
      </c>
      <c r="D2">
        <v>0.5</v>
      </c>
    </row>
    <row r="3" spans="1:4" x14ac:dyDescent="0.3">
      <c r="A3">
        <v>1</v>
      </c>
      <c r="B3">
        <v>102</v>
      </c>
      <c r="C3">
        <v>2</v>
      </c>
      <c r="D3">
        <v>0</v>
      </c>
    </row>
    <row r="4" spans="1:4" x14ac:dyDescent="0.3">
      <c r="A4">
        <v>1</v>
      </c>
      <c r="B4">
        <v>121</v>
      </c>
      <c r="C4">
        <v>2</v>
      </c>
      <c r="D4">
        <v>0.1</v>
      </c>
    </row>
    <row r="5" spans="1:4" x14ac:dyDescent="0.3">
      <c r="A5">
        <v>1</v>
      </c>
      <c r="B5">
        <v>145</v>
      </c>
      <c r="C5">
        <v>2</v>
      </c>
      <c r="D5">
        <v>0</v>
      </c>
    </row>
    <row r="6" spans="1:4" x14ac:dyDescent="0.3">
      <c r="A6">
        <v>1</v>
      </c>
      <c r="B6">
        <v>23</v>
      </c>
      <c r="C6">
        <v>2</v>
      </c>
      <c r="D6">
        <v>1.8</v>
      </c>
    </row>
    <row r="7" spans="1:4" x14ac:dyDescent="0.3">
      <c r="A7">
        <v>1</v>
      </c>
      <c r="B7">
        <v>62</v>
      </c>
      <c r="C7">
        <v>2</v>
      </c>
      <c r="D7">
        <v>20</v>
      </c>
    </row>
    <row r="8" spans="1:4" x14ac:dyDescent="0.3">
      <c r="A8">
        <v>1</v>
      </c>
      <c r="B8">
        <v>63</v>
      </c>
      <c r="C8">
        <v>2</v>
      </c>
      <c r="D8">
        <v>100</v>
      </c>
    </row>
    <row r="9" spans="1:4" x14ac:dyDescent="0.3">
      <c r="A9">
        <v>1</v>
      </c>
      <c r="B9">
        <v>69</v>
      </c>
      <c r="C9">
        <v>2</v>
      </c>
      <c r="D9">
        <v>1.5</v>
      </c>
    </row>
    <row r="10" spans="1:4" x14ac:dyDescent="0.3">
      <c r="A10">
        <v>1</v>
      </c>
      <c r="B10">
        <v>88</v>
      </c>
      <c r="C10">
        <v>2</v>
      </c>
      <c r="D10">
        <v>4</v>
      </c>
    </row>
    <row r="11" spans="1:4" x14ac:dyDescent="0.3">
      <c r="A11">
        <v>2</v>
      </c>
      <c r="B11">
        <v>102</v>
      </c>
      <c r="C11">
        <v>0</v>
      </c>
      <c r="D11">
        <v>0</v>
      </c>
    </row>
    <row r="12" spans="1:4" x14ac:dyDescent="0.3">
      <c r="A12">
        <v>2</v>
      </c>
      <c r="B12">
        <v>120</v>
      </c>
      <c r="C12">
        <v>0</v>
      </c>
      <c r="D12">
        <v>2.0000000000000004E-2</v>
      </c>
    </row>
    <row r="13" spans="1:4" x14ac:dyDescent="0.3">
      <c r="A13">
        <v>2</v>
      </c>
      <c r="B13">
        <v>134</v>
      </c>
      <c r="C13">
        <v>0</v>
      </c>
      <c r="D13">
        <v>2</v>
      </c>
    </row>
    <row r="14" spans="1:4" x14ac:dyDescent="0.3">
      <c r="A14">
        <v>2</v>
      </c>
      <c r="B14">
        <v>135</v>
      </c>
      <c r="C14">
        <v>0</v>
      </c>
      <c r="D14">
        <v>2.0000000000000004E-2</v>
      </c>
    </row>
    <row r="15" spans="1:4" x14ac:dyDescent="0.3">
      <c r="A15">
        <v>2</v>
      </c>
      <c r="B15">
        <v>145</v>
      </c>
      <c r="C15">
        <v>0</v>
      </c>
      <c r="D15">
        <v>0</v>
      </c>
    </row>
    <row r="16" spans="1:4" x14ac:dyDescent="0.3">
      <c r="A16">
        <v>2</v>
      </c>
      <c r="B16">
        <v>93</v>
      </c>
      <c r="C16">
        <v>0</v>
      </c>
      <c r="D16">
        <v>1</v>
      </c>
    </row>
    <row r="17" spans="1:4" x14ac:dyDescent="0.3">
      <c r="A17">
        <v>2</v>
      </c>
      <c r="B17">
        <v>94</v>
      </c>
      <c r="C17">
        <v>0</v>
      </c>
      <c r="D17">
        <v>1.6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D15B9-E8D8-485D-9501-1ED144084BDB}">
  <dimension ref="A1:D15"/>
  <sheetViews>
    <sheetView showGridLines="0" workbookViewId="0">
      <selection activeCell="G4" sqref="G4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26.125" bestFit="1" customWidth="1"/>
  </cols>
  <sheetData>
    <row r="1" spans="1:4" x14ac:dyDescent="0.3">
      <c r="A1" t="s">
        <v>85</v>
      </c>
      <c r="B1" t="s">
        <v>58</v>
      </c>
      <c r="C1" t="s">
        <v>59</v>
      </c>
      <c r="D1" t="s">
        <v>93</v>
      </c>
    </row>
    <row r="2" spans="1:4" x14ac:dyDescent="0.3">
      <c r="A2">
        <v>1</v>
      </c>
      <c r="B2">
        <v>102</v>
      </c>
      <c r="C2">
        <v>2</v>
      </c>
      <c r="D2">
        <v>5680.66</v>
      </c>
    </row>
    <row r="3" spans="1:4" x14ac:dyDescent="0.3">
      <c r="A3">
        <v>1</v>
      </c>
      <c r="B3">
        <v>116</v>
      </c>
      <c r="C3">
        <v>2</v>
      </c>
      <c r="D3">
        <v>0.2</v>
      </c>
    </row>
    <row r="4" spans="1:4" x14ac:dyDescent="0.3">
      <c r="A4">
        <v>1</v>
      </c>
      <c r="B4">
        <v>121</v>
      </c>
      <c r="C4">
        <v>2</v>
      </c>
      <c r="D4">
        <v>6</v>
      </c>
    </row>
    <row r="5" spans="1:4" x14ac:dyDescent="0.3">
      <c r="A5">
        <v>1</v>
      </c>
      <c r="B5">
        <v>145</v>
      </c>
      <c r="C5">
        <v>2</v>
      </c>
      <c r="D5">
        <v>44</v>
      </c>
    </row>
    <row r="6" spans="1:4" x14ac:dyDescent="0.3">
      <c r="A6">
        <v>1</v>
      </c>
      <c r="B6">
        <v>23</v>
      </c>
      <c r="C6">
        <v>2</v>
      </c>
      <c r="D6">
        <v>6.5</v>
      </c>
    </row>
    <row r="7" spans="1:4" x14ac:dyDescent="0.3">
      <c r="A7">
        <v>1</v>
      </c>
      <c r="B7">
        <v>62</v>
      </c>
      <c r="C7">
        <v>2</v>
      </c>
      <c r="D7">
        <v>20000</v>
      </c>
    </row>
    <row r="8" spans="1:4" x14ac:dyDescent="0.3">
      <c r="A8">
        <v>1</v>
      </c>
      <c r="B8">
        <v>63</v>
      </c>
      <c r="C8">
        <v>2</v>
      </c>
      <c r="D8">
        <v>9.375E-2</v>
      </c>
    </row>
    <row r="9" spans="1:4" x14ac:dyDescent="0.3">
      <c r="A9">
        <v>1</v>
      </c>
      <c r="B9">
        <v>88</v>
      </c>
      <c r="C9">
        <v>2</v>
      </c>
      <c r="D9">
        <v>1.8</v>
      </c>
    </row>
    <row r="10" spans="1:4" x14ac:dyDescent="0.3">
      <c r="A10">
        <v>2</v>
      </c>
      <c r="B10">
        <v>102</v>
      </c>
      <c r="C10">
        <v>0</v>
      </c>
      <c r="D10">
        <v>1</v>
      </c>
    </row>
    <row r="11" spans="1:4" x14ac:dyDescent="0.3">
      <c r="A11">
        <v>2</v>
      </c>
      <c r="B11">
        <v>120</v>
      </c>
      <c r="C11">
        <v>0</v>
      </c>
      <c r="D11">
        <v>1.62</v>
      </c>
    </row>
    <row r="12" spans="1:4" x14ac:dyDescent="0.3">
      <c r="A12">
        <v>2</v>
      </c>
      <c r="B12">
        <v>134</v>
      </c>
      <c r="C12">
        <v>0</v>
      </c>
      <c r="D12">
        <v>1</v>
      </c>
    </row>
    <row r="13" spans="1:4" x14ac:dyDescent="0.3">
      <c r="A13">
        <v>2</v>
      </c>
      <c r="B13">
        <v>135</v>
      </c>
      <c r="C13">
        <v>0</v>
      </c>
      <c r="D13">
        <v>2</v>
      </c>
    </row>
    <row r="14" spans="1:4" x14ac:dyDescent="0.3">
      <c r="A14">
        <v>2</v>
      </c>
      <c r="B14">
        <v>145</v>
      </c>
      <c r="C14">
        <v>0</v>
      </c>
      <c r="D14">
        <v>4.862000000000001</v>
      </c>
    </row>
    <row r="15" spans="1:4" x14ac:dyDescent="0.3">
      <c r="A15">
        <v>2</v>
      </c>
      <c r="B15">
        <v>94</v>
      </c>
      <c r="C15">
        <v>0</v>
      </c>
      <c r="D15">
        <v>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6AEA3-2972-49A1-A328-31B41B9BC73A}">
  <dimension ref="A1:H18"/>
  <sheetViews>
    <sheetView showGridLines="0" workbookViewId="0"/>
  </sheetViews>
  <sheetFormatPr defaultRowHeight="16.5" x14ac:dyDescent="0.3"/>
  <cols>
    <col min="1" max="1" width="14.875" bestFit="1" customWidth="1"/>
    <col min="2" max="2" width="19.875" bestFit="1" customWidth="1"/>
    <col min="3" max="3" width="13.75" bestFit="1" customWidth="1"/>
    <col min="4" max="4" width="13.875" bestFit="1" customWidth="1"/>
    <col min="5" max="5" width="24.875" bestFit="1" customWidth="1"/>
    <col min="6" max="6" width="23.5" bestFit="1" customWidth="1"/>
    <col min="7" max="7" width="26.125" bestFit="1" customWidth="1"/>
    <col min="8" max="8" width="25.375" bestFit="1" customWidth="1"/>
  </cols>
  <sheetData>
    <row r="1" spans="1:8" x14ac:dyDescent="0.3">
      <c r="A1" t="s">
        <v>85</v>
      </c>
      <c r="B1" t="s">
        <v>90</v>
      </c>
      <c r="C1" t="s">
        <v>58</v>
      </c>
      <c r="D1" t="s">
        <v>59</v>
      </c>
      <c r="E1" t="s">
        <v>91</v>
      </c>
      <c r="F1" t="s">
        <v>92</v>
      </c>
      <c r="G1" t="s">
        <v>93</v>
      </c>
      <c r="H1" t="s">
        <v>94</v>
      </c>
    </row>
    <row r="2" spans="1:8" x14ac:dyDescent="0.3">
      <c r="A2">
        <v>1</v>
      </c>
      <c r="B2">
        <v>0.5</v>
      </c>
      <c r="C2">
        <v>10</v>
      </c>
      <c r="D2">
        <v>2</v>
      </c>
      <c r="E2">
        <v>0</v>
      </c>
      <c r="F2">
        <v>0.5</v>
      </c>
      <c r="G2">
        <v>0</v>
      </c>
      <c r="H2">
        <v>0.5</v>
      </c>
    </row>
    <row r="3" spans="1:8" x14ac:dyDescent="0.3">
      <c r="A3">
        <v>1</v>
      </c>
      <c r="B3">
        <v>-5680.66</v>
      </c>
      <c r="C3">
        <v>102</v>
      </c>
      <c r="D3">
        <v>2</v>
      </c>
      <c r="E3">
        <v>5680.66</v>
      </c>
      <c r="F3">
        <v>0</v>
      </c>
      <c r="G3">
        <v>5680.66</v>
      </c>
      <c r="H3">
        <v>0</v>
      </c>
    </row>
    <row r="4" spans="1:8" x14ac:dyDescent="0.3">
      <c r="A4">
        <v>1</v>
      </c>
      <c r="B4">
        <v>-0.2</v>
      </c>
      <c r="C4">
        <v>116</v>
      </c>
      <c r="D4">
        <v>2</v>
      </c>
      <c r="E4">
        <v>0.2</v>
      </c>
      <c r="F4">
        <v>0</v>
      </c>
      <c r="G4">
        <v>0.2</v>
      </c>
      <c r="H4">
        <v>0</v>
      </c>
    </row>
    <row r="5" spans="1:8" x14ac:dyDescent="0.3">
      <c r="A5">
        <v>1</v>
      </c>
      <c r="B5">
        <v>-5.9</v>
      </c>
      <c r="C5">
        <v>121</v>
      </c>
      <c r="D5">
        <v>2</v>
      </c>
      <c r="E5">
        <v>5.9</v>
      </c>
      <c r="F5">
        <v>0</v>
      </c>
      <c r="G5">
        <v>6</v>
      </c>
      <c r="H5">
        <v>0.1</v>
      </c>
    </row>
    <row r="6" spans="1:8" x14ac:dyDescent="0.3">
      <c r="A6">
        <v>1</v>
      </c>
      <c r="B6">
        <v>-44</v>
      </c>
      <c r="C6">
        <v>145</v>
      </c>
      <c r="D6">
        <v>2</v>
      </c>
      <c r="E6">
        <v>44</v>
      </c>
      <c r="F6">
        <v>0</v>
      </c>
      <c r="G6">
        <v>44</v>
      </c>
      <c r="H6">
        <v>0</v>
      </c>
    </row>
    <row r="7" spans="1:8" x14ac:dyDescent="0.3">
      <c r="A7">
        <v>1</v>
      </c>
      <c r="B7">
        <v>-4.7</v>
      </c>
      <c r="C7">
        <v>23</v>
      </c>
      <c r="D7">
        <v>2</v>
      </c>
      <c r="E7">
        <v>4.7</v>
      </c>
      <c r="F7">
        <v>0</v>
      </c>
      <c r="G7">
        <v>6.5</v>
      </c>
      <c r="H7">
        <v>1.8</v>
      </c>
    </row>
    <row r="8" spans="1:8" x14ac:dyDescent="0.3">
      <c r="A8">
        <v>1</v>
      </c>
      <c r="B8">
        <v>-19980</v>
      </c>
      <c r="C8">
        <v>62</v>
      </c>
      <c r="D8">
        <v>2</v>
      </c>
      <c r="E8">
        <v>19980</v>
      </c>
      <c r="F8">
        <v>0</v>
      </c>
      <c r="G8">
        <v>20000</v>
      </c>
      <c r="H8">
        <v>20</v>
      </c>
    </row>
    <row r="9" spans="1:8" x14ac:dyDescent="0.3">
      <c r="A9">
        <v>1</v>
      </c>
      <c r="B9">
        <v>99.90625</v>
      </c>
      <c r="C9">
        <v>63</v>
      </c>
      <c r="D9">
        <v>2</v>
      </c>
      <c r="E9">
        <v>0</v>
      </c>
      <c r="F9">
        <v>99.90625</v>
      </c>
      <c r="G9">
        <v>9.375E-2</v>
      </c>
      <c r="H9">
        <v>100</v>
      </c>
    </row>
    <row r="10" spans="1:8" x14ac:dyDescent="0.3">
      <c r="A10">
        <v>1</v>
      </c>
      <c r="B10">
        <v>1.5</v>
      </c>
      <c r="C10">
        <v>69</v>
      </c>
      <c r="D10">
        <v>2</v>
      </c>
      <c r="E10">
        <v>0</v>
      </c>
      <c r="F10">
        <v>1.5</v>
      </c>
      <c r="G10">
        <v>0</v>
      </c>
      <c r="H10">
        <v>1.5</v>
      </c>
    </row>
    <row r="11" spans="1:8" x14ac:dyDescent="0.3">
      <c r="A11">
        <v>1</v>
      </c>
      <c r="B11">
        <v>2.2000000000000002</v>
      </c>
      <c r="C11">
        <v>88</v>
      </c>
      <c r="D11">
        <v>2</v>
      </c>
      <c r="E11">
        <v>0</v>
      </c>
      <c r="F11">
        <v>2.2000000000000002</v>
      </c>
      <c r="G11">
        <v>1.8</v>
      </c>
      <c r="H11">
        <v>4</v>
      </c>
    </row>
    <row r="12" spans="1:8" x14ac:dyDescent="0.3">
      <c r="A12">
        <v>2</v>
      </c>
      <c r="B12">
        <v>-1</v>
      </c>
      <c r="C12">
        <v>102</v>
      </c>
      <c r="D12">
        <v>0</v>
      </c>
      <c r="E12">
        <v>1</v>
      </c>
      <c r="F12">
        <v>0</v>
      </c>
      <c r="G12">
        <v>1</v>
      </c>
      <c r="H12">
        <v>0</v>
      </c>
    </row>
    <row r="13" spans="1:8" x14ac:dyDescent="0.3">
      <c r="A13">
        <v>2</v>
      </c>
      <c r="B13">
        <v>-1.6</v>
      </c>
      <c r="C13">
        <v>120</v>
      </c>
      <c r="D13">
        <v>0</v>
      </c>
      <c r="E13">
        <v>1.6</v>
      </c>
      <c r="F13">
        <v>0</v>
      </c>
      <c r="G13">
        <v>1.62</v>
      </c>
      <c r="H13">
        <v>2.0000000000000004E-2</v>
      </c>
    </row>
    <row r="14" spans="1:8" x14ac:dyDescent="0.3">
      <c r="A14">
        <v>2</v>
      </c>
      <c r="B14">
        <v>1</v>
      </c>
      <c r="C14">
        <v>134</v>
      </c>
      <c r="D14">
        <v>0</v>
      </c>
      <c r="E14">
        <v>0</v>
      </c>
      <c r="F14">
        <v>1</v>
      </c>
      <c r="G14">
        <v>1</v>
      </c>
      <c r="H14">
        <v>2</v>
      </c>
    </row>
    <row r="15" spans="1:8" x14ac:dyDescent="0.3">
      <c r="A15">
        <v>2</v>
      </c>
      <c r="B15">
        <v>-1.98</v>
      </c>
      <c r="C15">
        <v>135</v>
      </c>
      <c r="D15">
        <v>0</v>
      </c>
      <c r="E15">
        <v>1.98</v>
      </c>
      <c r="F15">
        <v>0</v>
      </c>
      <c r="G15">
        <v>2</v>
      </c>
      <c r="H15">
        <v>2.0000000000000004E-2</v>
      </c>
    </row>
    <row r="16" spans="1:8" x14ac:dyDescent="0.3">
      <c r="A16">
        <v>2</v>
      </c>
      <c r="B16">
        <v>-4.862000000000001</v>
      </c>
      <c r="C16">
        <v>145</v>
      </c>
      <c r="D16">
        <v>0</v>
      </c>
      <c r="E16">
        <v>4.862000000000001</v>
      </c>
      <c r="F16">
        <v>0</v>
      </c>
      <c r="G16">
        <v>4.862000000000001</v>
      </c>
      <c r="H16">
        <v>0</v>
      </c>
    </row>
    <row r="17" spans="1:8" x14ac:dyDescent="0.3">
      <c r="A17">
        <v>2</v>
      </c>
      <c r="B17">
        <v>1</v>
      </c>
      <c r="C17">
        <v>93</v>
      </c>
      <c r="D17">
        <v>0</v>
      </c>
      <c r="E17">
        <v>0</v>
      </c>
      <c r="F17">
        <v>1</v>
      </c>
      <c r="G17">
        <v>0</v>
      </c>
      <c r="H17">
        <v>1</v>
      </c>
    </row>
    <row r="18" spans="1:8" x14ac:dyDescent="0.3">
      <c r="A18">
        <v>2</v>
      </c>
      <c r="B18">
        <v>-3.4</v>
      </c>
      <c r="C18">
        <v>94</v>
      </c>
      <c r="D18">
        <v>0</v>
      </c>
      <c r="E18">
        <v>3.4</v>
      </c>
      <c r="F18">
        <v>0</v>
      </c>
      <c r="G18">
        <v>5</v>
      </c>
      <c r="H18">
        <v>1.6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4F737-FC73-4D74-9E95-B54CBBBDD4FF}">
  <dimension ref="A1:G18"/>
  <sheetViews>
    <sheetView showGridLines="0" workbookViewId="0">
      <selection activeCell="I9" sqref="I9"/>
    </sheetView>
  </sheetViews>
  <sheetFormatPr defaultRowHeight="16.5" x14ac:dyDescent="0.3"/>
  <cols>
    <col min="1" max="1" width="25" bestFit="1" customWidth="1"/>
    <col min="2" max="2" width="13.625" bestFit="1" customWidth="1"/>
    <col min="3" max="3" width="14.875" bestFit="1" customWidth="1"/>
    <col min="4" max="4" width="10.875" bestFit="1" customWidth="1"/>
    <col min="5" max="5" width="9.625" bestFit="1" customWidth="1"/>
    <col min="6" max="6" width="13.75" bestFit="1" customWidth="1"/>
    <col min="7" max="7" width="13.875" bestFit="1" customWidth="1"/>
  </cols>
  <sheetData>
    <row r="1" spans="1:7" x14ac:dyDescent="0.3">
      <c r="A1" t="s">
        <v>95</v>
      </c>
      <c r="B1" t="s">
        <v>96</v>
      </c>
      <c r="C1" t="s">
        <v>85</v>
      </c>
      <c r="D1" t="s">
        <v>97</v>
      </c>
      <c r="E1" t="s">
        <v>98</v>
      </c>
      <c r="F1" t="s">
        <v>58</v>
      </c>
      <c r="G1" t="s">
        <v>59</v>
      </c>
    </row>
    <row r="2" spans="1:7" x14ac:dyDescent="0.3">
      <c r="A2">
        <v>0.5</v>
      </c>
      <c r="B2">
        <v>2</v>
      </c>
      <c r="C2">
        <v>1</v>
      </c>
      <c r="D2" t="s">
        <v>99</v>
      </c>
      <c r="E2">
        <v>1</v>
      </c>
      <c r="F2">
        <v>10</v>
      </c>
      <c r="G2">
        <v>2</v>
      </c>
    </row>
    <row r="3" spans="1:7" x14ac:dyDescent="0.3">
      <c r="A3">
        <v>5680.66</v>
      </c>
      <c r="B3">
        <v>2</v>
      </c>
      <c r="C3">
        <v>1</v>
      </c>
      <c r="D3" t="s">
        <v>100</v>
      </c>
      <c r="E3">
        <v>1</v>
      </c>
      <c r="F3">
        <v>102</v>
      </c>
      <c r="G3">
        <v>2</v>
      </c>
    </row>
    <row r="4" spans="1:7" x14ac:dyDescent="0.3">
      <c r="A4">
        <v>0.2</v>
      </c>
      <c r="B4">
        <v>2</v>
      </c>
      <c r="C4">
        <v>1</v>
      </c>
      <c r="D4" t="s">
        <v>100</v>
      </c>
      <c r="E4">
        <v>1</v>
      </c>
      <c r="F4">
        <v>116</v>
      </c>
      <c r="G4">
        <v>2</v>
      </c>
    </row>
    <row r="5" spans="1:7" x14ac:dyDescent="0.3">
      <c r="A5">
        <v>5.9</v>
      </c>
      <c r="B5">
        <v>2</v>
      </c>
      <c r="C5">
        <v>1</v>
      </c>
      <c r="D5" t="s">
        <v>100</v>
      </c>
      <c r="E5">
        <v>1</v>
      </c>
      <c r="F5">
        <v>121</v>
      </c>
      <c r="G5">
        <v>2</v>
      </c>
    </row>
    <row r="6" spans="1:7" x14ac:dyDescent="0.3">
      <c r="A6">
        <v>44</v>
      </c>
      <c r="B6">
        <v>2</v>
      </c>
      <c r="C6">
        <v>1</v>
      </c>
      <c r="D6" t="s">
        <v>100</v>
      </c>
      <c r="E6">
        <v>1</v>
      </c>
      <c r="F6">
        <v>145</v>
      </c>
      <c r="G6">
        <v>2</v>
      </c>
    </row>
    <row r="7" spans="1:7" x14ac:dyDescent="0.3">
      <c r="A7">
        <v>4.7</v>
      </c>
      <c r="B7">
        <v>2</v>
      </c>
      <c r="C7">
        <v>1</v>
      </c>
      <c r="D7" t="s">
        <v>100</v>
      </c>
      <c r="E7">
        <v>1</v>
      </c>
      <c r="F7">
        <v>23</v>
      </c>
      <c r="G7">
        <v>2</v>
      </c>
    </row>
    <row r="8" spans="1:7" x14ac:dyDescent="0.3">
      <c r="A8">
        <v>19980</v>
      </c>
      <c r="B8">
        <v>2</v>
      </c>
      <c r="C8">
        <v>1</v>
      </c>
      <c r="D8" t="s">
        <v>100</v>
      </c>
      <c r="E8">
        <v>1</v>
      </c>
      <c r="F8">
        <v>62</v>
      </c>
      <c r="G8">
        <v>2</v>
      </c>
    </row>
    <row r="9" spans="1:7" x14ac:dyDescent="0.3">
      <c r="A9">
        <v>99.90625</v>
      </c>
      <c r="B9">
        <v>2</v>
      </c>
      <c r="C9">
        <v>1</v>
      </c>
      <c r="D9" t="s">
        <v>99</v>
      </c>
      <c r="E9">
        <v>1</v>
      </c>
      <c r="F9">
        <v>63</v>
      </c>
      <c r="G9">
        <v>2</v>
      </c>
    </row>
    <row r="10" spans="1:7" x14ac:dyDescent="0.3">
      <c r="A10">
        <v>1.5</v>
      </c>
      <c r="B10">
        <v>2</v>
      </c>
      <c r="C10">
        <v>1</v>
      </c>
      <c r="D10" t="s">
        <v>99</v>
      </c>
      <c r="E10">
        <v>1</v>
      </c>
      <c r="F10">
        <v>69</v>
      </c>
      <c r="G10">
        <v>2</v>
      </c>
    </row>
    <row r="11" spans="1:7" x14ac:dyDescent="0.3">
      <c r="A11">
        <v>2.2000000000000002</v>
      </c>
      <c r="B11">
        <v>2</v>
      </c>
      <c r="C11">
        <v>1</v>
      </c>
      <c r="D11" t="s">
        <v>99</v>
      </c>
      <c r="E11">
        <v>1</v>
      </c>
      <c r="F11">
        <v>88</v>
      </c>
      <c r="G11">
        <v>2</v>
      </c>
    </row>
    <row r="12" spans="1:7" x14ac:dyDescent="0.3">
      <c r="A12">
        <v>1</v>
      </c>
      <c r="B12">
        <v>2</v>
      </c>
      <c r="C12">
        <v>2</v>
      </c>
      <c r="D12" t="s">
        <v>100</v>
      </c>
      <c r="E12">
        <v>1</v>
      </c>
      <c r="F12">
        <v>102</v>
      </c>
      <c r="G12">
        <v>0</v>
      </c>
    </row>
    <row r="13" spans="1:7" x14ac:dyDescent="0.3">
      <c r="A13">
        <v>1.6</v>
      </c>
      <c r="B13">
        <v>2</v>
      </c>
      <c r="C13">
        <v>2</v>
      </c>
      <c r="D13" t="s">
        <v>100</v>
      </c>
      <c r="E13">
        <v>1</v>
      </c>
      <c r="F13">
        <v>120</v>
      </c>
      <c r="G13">
        <v>0</v>
      </c>
    </row>
    <row r="14" spans="1:7" x14ac:dyDescent="0.3">
      <c r="A14">
        <v>1</v>
      </c>
      <c r="B14">
        <v>2</v>
      </c>
      <c r="C14">
        <v>2</v>
      </c>
      <c r="D14" t="s">
        <v>99</v>
      </c>
      <c r="E14">
        <v>1</v>
      </c>
      <c r="F14">
        <v>134</v>
      </c>
      <c r="G14">
        <v>0</v>
      </c>
    </row>
    <row r="15" spans="1:7" x14ac:dyDescent="0.3">
      <c r="A15">
        <v>1.98</v>
      </c>
      <c r="B15">
        <v>2</v>
      </c>
      <c r="C15">
        <v>2</v>
      </c>
      <c r="D15" t="s">
        <v>100</v>
      </c>
      <c r="E15">
        <v>1</v>
      </c>
      <c r="F15">
        <v>135</v>
      </c>
      <c r="G15">
        <v>0</v>
      </c>
    </row>
    <row r="16" spans="1:7" x14ac:dyDescent="0.3">
      <c r="A16">
        <v>4.862000000000001</v>
      </c>
      <c r="B16">
        <v>2</v>
      </c>
      <c r="C16">
        <v>2</v>
      </c>
      <c r="D16" t="s">
        <v>100</v>
      </c>
      <c r="E16">
        <v>1</v>
      </c>
      <c r="F16">
        <v>145</v>
      </c>
      <c r="G16">
        <v>0</v>
      </c>
    </row>
    <row r="17" spans="1:7" x14ac:dyDescent="0.3">
      <c r="A17">
        <v>1</v>
      </c>
      <c r="B17">
        <v>3</v>
      </c>
      <c r="C17">
        <v>2</v>
      </c>
      <c r="D17" t="s">
        <v>99</v>
      </c>
      <c r="E17">
        <v>1</v>
      </c>
      <c r="F17">
        <v>93</v>
      </c>
      <c r="G17">
        <v>0</v>
      </c>
    </row>
    <row r="18" spans="1:7" x14ac:dyDescent="0.3">
      <c r="A18">
        <v>3.4</v>
      </c>
      <c r="B18">
        <v>2</v>
      </c>
      <c r="C18">
        <v>2</v>
      </c>
      <c r="D18" t="s">
        <v>100</v>
      </c>
      <c r="E18">
        <v>1</v>
      </c>
      <c r="F18">
        <v>94</v>
      </c>
      <c r="G18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33538-F6FA-4BA1-A574-B42747271E4B}">
  <dimension ref="A1:G18"/>
  <sheetViews>
    <sheetView showGridLines="0" workbookViewId="0">
      <selection activeCell="G5" sqref="G5"/>
    </sheetView>
  </sheetViews>
  <sheetFormatPr defaultRowHeight="16.5" x14ac:dyDescent="0.3"/>
  <cols>
    <col min="1" max="1" width="14.875" bestFit="1" customWidth="1"/>
    <col min="2" max="2" width="16.875" bestFit="1" customWidth="1"/>
    <col min="3" max="3" width="25.75" bestFit="1" customWidth="1"/>
    <col min="4" max="4" width="13.75" bestFit="1" customWidth="1"/>
    <col min="5" max="5" width="13.875" bestFit="1" customWidth="1"/>
    <col min="6" max="6" width="21.5" bestFit="1" customWidth="1"/>
    <col min="7" max="7" width="21.125" bestFit="1" customWidth="1"/>
  </cols>
  <sheetData>
    <row r="1" spans="1:7" x14ac:dyDescent="0.3">
      <c r="A1" t="s">
        <v>85</v>
      </c>
      <c r="B1" t="s">
        <v>86</v>
      </c>
      <c r="C1" t="s">
        <v>87</v>
      </c>
      <c r="D1" t="s">
        <v>58</v>
      </c>
      <c r="E1" t="s">
        <v>59</v>
      </c>
      <c r="F1" t="s">
        <v>88</v>
      </c>
      <c r="G1" t="s">
        <v>89</v>
      </c>
    </row>
    <row r="2" spans="1:7" x14ac:dyDescent="0.3">
      <c r="A2">
        <v>1</v>
      </c>
      <c r="B2" t="b">
        <v>0</v>
      </c>
      <c r="C2">
        <v>0.5</v>
      </c>
      <c r="D2">
        <v>10</v>
      </c>
      <c r="E2">
        <v>2</v>
      </c>
      <c r="F2">
        <v>0</v>
      </c>
      <c r="G2">
        <v>0.5</v>
      </c>
    </row>
    <row r="3" spans="1:7" x14ac:dyDescent="0.3">
      <c r="A3">
        <v>1</v>
      </c>
      <c r="B3" t="b">
        <v>0</v>
      </c>
      <c r="C3">
        <v>5680.66</v>
      </c>
      <c r="D3">
        <v>102</v>
      </c>
      <c r="E3">
        <v>2</v>
      </c>
      <c r="F3">
        <v>0</v>
      </c>
      <c r="G3">
        <v>5680.66</v>
      </c>
    </row>
    <row r="4" spans="1:7" x14ac:dyDescent="0.3">
      <c r="A4">
        <v>1</v>
      </c>
      <c r="B4" t="b">
        <v>0</v>
      </c>
      <c r="C4">
        <v>0.2</v>
      </c>
      <c r="D4">
        <v>116</v>
      </c>
      <c r="E4">
        <v>2</v>
      </c>
      <c r="F4">
        <v>0</v>
      </c>
      <c r="G4">
        <v>0.2</v>
      </c>
    </row>
    <row r="5" spans="1:7" x14ac:dyDescent="0.3">
      <c r="A5">
        <v>1</v>
      </c>
      <c r="B5" t="b">
        <v>0</v>
      </c>
      <c r="C5">
        <v>5.9</v>
      </c>
      <c r="D5">
        <v>121</v>
      </c>
      <c r="E5">
        <v>2</v>
      </c>
      <c r="F5">
        <v>0</v>
      </c>
      <c r="G5">
        <v>5.9</v>
      </c>
    </row>
    <row r="6" spans="1:7" x14ac:dyDescent="0.3">
      <c r="A6">
        <v>1</v>
      </c>
      <c r="B6" t="b">
        <v>0</v>
      </c>
      <c r="C6">
        <v>44</v>
      </c>
      <c r="D6">
        <v>145</v>
      </c>
      <c r="E6">
        <v>2</v>
      </c>
      <c r="F6">
        <v>0</v>
      </c>
      <c r="G6">
        <v>44</v>
      </c>
    </row>
    <row r="7" spans="1:7" x14ac:dyDescent="0.3">
      <c r="A7">
        <v>1</v>
      </c>
      <c r="B7" t="b">
        <v>0</v>
      </c>
      <c r="C7">
        <v>4.7</v>
      </c>
      <c r="D7">
        <v>23</v>
      </c>
      <c r="E7">
        <v>2</v>
      </c>
      <c r="F7">
        <v>0</v>
      </c>
      <c r="G7">
        <v>4.7</v>
      </c>
    </row>
    <row r="8" spans="1:7" x14ac:dyDescent="0.3">
      <c r="A8">
        <v>1</v>
      </c>
      <c r="B8" t="b">
        <v>0</v>
      </c>
      <c r="C8">
        <v>19980</v>
      </c>
      <c r="D8">
        <v>62</v>
      </c>
      <c r="E8">
        <v>2</v>
      </c>
      <c r="F8">
        <v>0</v>
      </c>
      <c r="G8">
        <v>19980</v>
      </c>
    </row>
    <row r="9" spans="1:7" x14ac:dyDescent="0.3">
      <c r="A9">
        <v>1</v>
      </c>
      <c r="B9" t="b">
        <v>0</v>
      </c>
      <c r="C9">
        <v>99.90625</v>
      </c>
      <c r="D9">
        <v>63</v>
      </c>
      <c r="E9">
        <v>2</v>
      </c>
      <c r="F9">
        <v>0</v>
      </c>
      <c r="G9">
        <v>99.90625</v>
      </c>
    </row>
    <row r="10" spans="1:7" x14ac:dyDescent="0.3">
      <c r="A10">
        <v>1</v>
      </c>
      <c r="B10" t="b">
        <v>0</v>
      </c>
      <c r="C10">
        <v>1.5</v>
      </c>
      <c r="D10">
        <v>69</v>
      </c>
      <c r="E10">
        <v>2</v>
      </c>
      <c r="F10">
        <v>0</v>
      </c>
      <c r="G10">
        <v>1.5</v>
      </c>
    </row>
    <row r="11" spans="1:7" x14ac:dyDescent="0.3">
      <c r="A11">
        <v>1</v>
      </c>
      <c r="B11" t="b">
        <v>0</v>
      </c>
      <c r="C11">
        <v>2.2000000000000002</v>
      </c>
      <c r="D11">
        <v>88</v>
      </c>
      <c r="E11">
        <v>2</v>
      </c>
      <c r="F11">
        <v>0</v>
      </c>
      <c r="G11">
        <v>2.2000000000000002</v>
      </c>
    </row>
    <row r="12" spans="1:7" x14ac:dyDescent="0.3">
      <c r="A12">
        <v>2</v>
      </c>
      <c r="B12" t="b">
        <v>0</v>
      </c>
      <c r="C12">
        <v>1</v>
      </c>
      <c r="D12">
        <v>102</v>
      </c>
      <c r="E12">
        <v>0</v>
      </c>
      <c r="F12">
        <v>0</v>
      </c>
      <c r="G12">
        <v>1</v>
      </c>
    </row>
    <row r="13" spans="1:7" x14ac:dyDescent="0.3">
      <c r="A13">
        <v>2</v>
      </c>
      <c r="B13" t="b">
        <v>0</v>
      </c>
      <c r="C13">
        <v>1.6</v>
      </c>
      <c r="D13">
        <v>120</v>
      </c>
      <c r="E13">
        <v>0</v>
      </c>
      <c r="F13">
        <v>0</v>
      </c>
      <c r="G13">
        <v>1.6</v>
      </c>
    </row>
    <row r="14" spans="1:7" x14ac:dyDescent="0.3">
      <c r="A14">
        <v>2</v>
      </c>
      <c r="B14" t="b">
        <v>0</v>
      </c>
      <c r="C14">
        <v>1</v>
      </c>
      <c r="D14">
        <v>134</v>
      </c>
      <c r="E14">
        <v>0</v>
      </c>
      <c r="F14">
        <v>0</v>
      </c>
      <c r="G14">
        <v>1</v>
      </c>
    </row>
    <row r="15" spans="1:7" x14ac:dyDescent="0.3">
      <c r="A15">
        <v>2</v>
      </c>
      <c r="B15" t="b">
        <v>0</v>
      </c>
      <c r="C15">
        <v>1.98</v>
      </c>
      <c r="D15">
        <v>135</v>
      </c>
      <c r="E15">
        <v>0</v>
      </c>
      <c r="F15">
        <v>0</v>
      </c>
      <c r="G15">
        <v>1.98</v>
      </c>
    </row>
    <row r="16" spans="1:7" x14ac:dyDescent="0.3">
      <c r="A16">
        <v>2</v>
      </c>
      <c r="B16" t="b">
        <v>0</v>
      </c>
      <c r="C16">
        <v>4.862000000000001</v>
      </c>
      <c r="D16">
        <v>145</v>
      </c>
      <c r="E16">
        <v>0</v>
      </c>
      <c r="F16">
        <v>0</v>
      </c>
      <c r="G16">
        <v>4.862000000000001</v>
      </c>
    </row>
    <row r="17" spans="1:7" x14ac:dyDescent="0.3">
      <c r="A17">
        <v>2</v>
      </c>
      <c r="B17" t="b">
        <v>0</v>
      </c>
      <c r="C17">
        <v>0</v>
      </c>
      <c r="D17">
        <v>93</v>
      </c>
      <c r="E17">
        <v>0</v>
      </c>
      <c r="F17">
        <v>1</v>
      </c>
      <c r="G17">
        <v>1</v>
      </c>
    </row>
    <row r="18" spans="1:7" x14ac:dyDescent="0.3">
      <c r="A18">
        <v>2</v>
      </c>
      <c r="B18" t="b">
        <v>0</v>
      </c>
      <c r="C18">
        <v>3.4</v>
      </c>
      <c r="D18">
        <v>94</v>
      </c>
      <c r="E18">
        <v>0</v>
      </c>
      <c r="F18">
        <v>0</v>
      </c>
      <c r="G18">
        <v>3.4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A6C60-CBD1-41D0-B10B-DBE92DEAE800}">
  <sheetPr codeName="Sheet3"/>
  <dimension ref="A1"/>
  <sheetViews>
    <sheetView showGridLines="0" workbookViewId="0">
      <selection activeCell="K11" sqref="K11"/>
    </sheetView>
  </sheetViews>
  <sheetFormatPr defaultRowHeight="16.5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30E02-0CF6-4951-842B-88CFBB2AC45C}">
  <dimension ref="A1"/>
  <sheetViews>
    <sheetView showGridLines="0" workbookViewId="0"/>
  </sheetViews>
  <sheetFormatPr defaultRowHeight="16.5" x14ac:dyDescent="0.3"/>
  <sheetData>
    <row r="1" spans="1:1" x14ac:dyDescent="0.3">
      <c r="A1" t="s">
        <v>57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54434-B0E6-400C-90D7-3A8738EC19E5}">
  <dimension ref="A1"/>
  <sheetViews>
    <sheetView showGridLines="0" workbookViewId="0"/>
  </sheetViews>
  <sheetFormatPr defaultRowHeight="16.5" x14ac:dyDescent="0.3"/>
  <sheetData>
    <row r="1" spans="1:1" x14ac:dyDescent="0.3">
      <c r="A1" t="s">
        <v>57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CCBAE-2C37-4FBE-B6C3-42288E12370B}">
  <sheetPr codeName="Sheet4"/>
  <dimension ref="A1"/>
  <sheetViews>
    <sheetView showGridLines="0" workbookViewId="0"/>
  </sheetViews>
  <sheetFormatPr defaultRowHeight="16.5" x14ac:dyDescent="0.3"/>
  <sheetData>
    <row r="1" spans="1:1" x14ac:dyDescent="0.3">
      <c r="A1" t="s">
        <v>56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8BB29-EC75-4B87-A05F-96918AA16330}">
  <sheetPr codeName="Sheet5"/>
  <dimension ref="A1"/>
  <sheetViews>
    <sheetView showGridLines="0" workbookViewId="0"/>
  </sheetViews>
  <sheetFormatPr defaultRowHeight="16.5" x14ac:dyDescent="0.3"/>
  <sheetData>
    <row r="1" spans="1:1" x14ac:dyDescent="0.3">
      <c r="A1" t="s">
        <v>55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A2A59-0FA2-49F7-8E9E-917C787152B8}">
  <sheetPr codeName="Sheet6"/>
  <dimension ref="A1"/>
  <sheetViews>
    <sheetView showGridLines="0" workbookViewId="0"/>
  </sheetViews>
  <sheetFormatPr defaultRowHeight="16.5" x14ac:dyDescent="0.3"/>
  <sheetData>
    <row r="1" spans="1:1" x14ac:dyDescent="0.3">
      <c r="A1" t="s">
        <v>54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E47F-A11D-49E2-94AB-D18FE403A771}">
  <sheetPr codeName="Sheet7"/>
  <dimension ref="A1"/>
  <sheetViews>
    <sheetView showGridLines="0" workbookViewId="0"/>
  </sheetViews>
  <sheetFormatPr defaultRowHeight="16.5" x14ac:dyDescent="0.3"/>
  <sheetData>
    <row r="1" spans="1:1" x14ac:dyDescent="0.3">
      <c r="A1" t="s">
        <v>53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F3DEDD1B-DC02-4458-BFAA-542B34C4F5C9}">
  <ds:schemaRefs>
    <ds:schemaRef ds:uri="http://gemini/pivotcustomization/c2f139cf-0300-4c80-8b33-8ba5ea3f3a1a"/>
  </ds:schemaRefs>
</ds:datastoreItem>
</file>

<file path=customXml/itemProps2.xml><?xml version="1.0" encoding="utf-8"?>
<ds:datastoreItem xmlns:ds="http://schemas.openxmlformats.org/officeDocument/2006/customXml" ds:itemID="{CD695E87-27D9-462C-BE38-C8E896CC1ECD}">
  <ds:schemaRefs>
    <ds:schemaRef ds:uri="http://gemini/pivotcustomization/FormulaBarState"/>
  </ds:schemaRefs>
</ds:datastoreItem>
</file>

<file path=customXml/itemProps3.xml><?xml version="1.0" encoding="utf-8"?>
<ds:datastoreItem xmlns:ds="http://schemas.openxmlformats.org/officeDocument/2006/customXml" ds:itemID="{F12AC710-18FC-49F7-89C7-A1D1C5DD15CD}">
  <ds:schemaRefs>
    <ds:schemaRef ds:uri="http://gemini/pivotcustomization/TableWidget"/>
  </ds:schemaRefs>
</ds:datastoreItem>
</file>

<file path=customXml/itemProps4.xml><?xml version="1.0" encoding="utf-8"?>
<ds:datastoreItem xmlns:ds="http://schemas.openxmlformats.org/officeDocument/2006/customXml" ds:itemID="{46CC5BBC-C844-4C45-BD45-69B6CEF5D093}">
  <ds:schemaRefs>
    <ds:schemaRef ds:uri="http://gemini/pivotcustomization/dacc89e2-b92f-422a-89b3-8a52496f01b6"/>
  </ds:schemaRefs>
</ds:datastoreItem>
</file>

<file path=customXml/itemProps5.xml><?xml version="1.0" encoding="utf-8"?>
<ds:datastoreItem xmlns:ds="http://schemas.openxmlformats.org/officeDocument/2006/customXml" ds:itemID="{D4D2E015-1797-41C5-BDB7-A040C777FF66}">
  <ds:schemaRefs>
    <ds:schemaRef ds:uri="http://gemini/pivotcustomization/88717339-4714-4abe-b8f5-331a508ca5be"/>
  </ds:schemaRefs>
</ds:datastoreItem>
</file>

<file path=customXml/itemProps6.xml><?xml version="1.0" encoding="utf-8"?>
<ds:datastoreItem xmlns:ds="http://schemas.openxmlformats.org/officeDocument/2006/customXml" ds:itemID="{C1995AC7-FB34-43C6-9D56-717FECCBCC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9</vt:i4>
      </vt:variant>
    </vt:vector>
  </HeadingPairs>
  <TitlesOfParts>
    <vt:vector size="24" baseType="lpstr">
      <vt:lpstr>Paths</vt:lpstr>
      <vt:lpstr>Inputs</vt:lpstr>
      <vt:lpstr>Output</vt:lpstr>
      <vt:lpstr>_out_production_intent</vt:lpstr>
      <vt:lpstr>_out_product_bom_consumption</vt:lpstr>
      <vt:lpstr>_out_balance_plan</vt:lpstr>
      <vt:lpstr>_out_clearing_result</vt:lpstr>
      <vt:lpstr>out_allocation_summary</vt:lpstr>
      <vt:lpstr>Help</vt:lpstr>
      <vt:lpstr>_ing_company</vt:lpstr>
      <vt:lpstr>_ing_map_structure</vt:lpstr>
      <vt:lpstr>_ing_override_retail_prices</vt:lpstr>
      <vt:lpstr>_ing_override_exchange_prices</vt:lpstr>
      <vt:lpstr>_ing_clearing_plan</vt:lpstr>
      <vt:lpstr>_ing_production_plan</vt:lpstr>
      <vt:lpstr>_ing_company!ExternalData_1</vt:lpstr>
      <vt:lpstr>_ing_map_structure!ExternalData_1</vt:lpstr>
      <vt:lpstr>_ing_production_plan!ExternalData_3</vt:lpstr>
      <vt:lpstr>_ing_clearing_plan!ExternalData_4</vt:lpstr>
      <vt:lpstr>_ing_override_exchange_prices!ExternalData_5</vt:lpstr>
      <vt:lpstr>_ing_override_retail_prices!ExternalData_6</vt:lpstr>
      <vt:lpstr>InstallationRoot</vt:lpstr>
      <vt:lpstr>MapStructureList</vt:lpstr>
      <vt:lpstr>OutputPath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Dennison, Daniel (Omaha)</dc:creator>
  <cp:keywords/>
  <dc:description/>
  <cp:lastModifiedBy>Daniel Dennison</cp:lastModifiedBy>
  <cp:revision/>
  <dcterms:created xsi:type="dcterms:W3CDTF">2026-04-29T11:01:12Z</dcterms:created>
  <dcterms:modified xsi:type="dcterms:W3CDTF">2026-06-03T18:39:26Z</dcterms:modified>
  <cp:category/>
  <cp:contentStatus/>
</cp:coreProperties>
</file>